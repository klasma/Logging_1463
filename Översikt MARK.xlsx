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45740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45740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45740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45740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45740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45740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45740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45740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45740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HYPERLINK("https://klasma.github.io/Logging_1463/artfynd/A 13612-2025 artfynd.xlsx", "A 13612-2025")</f>
        <v/>
      </c>
      <c r="T10">
        <f>HYPERLINK("https://klasma.github.io/Logging_1463/kartor/A 13612-2025 karta.png", "A 13612-2025")</f>
        <v/>
      </c>
      <c r="U10">
        <f>HYPERLINK("https://klasma.github.io/Logging_1463/knärot/A 13612-2025 karta knärot.png", "A 13612-2025")</f>
        <v/>
      </c>
      <c r="V10">
        <f>HYPERLINK("https://klasma.github.io/Logging_1463/klagomål/A 13612-2025 FSC-klagomål.docx", "A 13612-2025")</f>
        <v/>
      </c>
      <c r="W10">
        <f>HYPERLINK("https://klasma.github.io/Logging_1463/klagomålsmail/A 13612-2025 FSC-klagomål mail.docx", "A 13612-2025")</f>
        <v/>
      </c>
      <c r="X10">
        <f>HYPERLINK("https://klasma.github.io/Logging_1463/tillsyn/A 13612-2025 tillsynsbegäran.docx", "A 13612-2025")</f>
        <v/>
      </c>
      <c r="Y10">
        <f>HYPERLINK("https://klasma.github.io/Logging_1463/tillsynsmail/A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45740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45740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45740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45740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45740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45740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45740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45740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45740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45740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45740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45740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45740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45740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45740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45740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45740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45740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45740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45740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45740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45740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45740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45740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45740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45740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HYPERLINK("https://klasma.github.io/Logging_1463/artfynd/A 11826-2025 artfynd.xlsx", "A 11826-2025")</f>
        <v/>
      </c>
      <c r="T36">
        <f>HYPERLINK("https://klasma.github.io/Logging_1463/kartor/A 11826-2025 karta.png", "A 11826-2025")</f>
        <v/>
      </c>
      <c r="V36">
        <f>HYPERLINK("https://klasma.github.io/Logging_1463/klagomål/A 11826-2025 FSC-klagomål.docx", "A 11826-2025")</f>
        <v/>
      </c>
      <c r="W36">
        <f>HYPERLINK("https://klasma.github.io/Logging_1463/klagomålsmail/A 11826-2025 FSC-klagomål mail.docx", "A 11826-2025")</f>
        <v/>
      </c>
      <c r="X36">
        <f>HYPERLINK("https://klasma.github.io/Logging_1463/tillsyn/A 11826-2025 tillsynsbegäran.docx", "A 11826-2025")</f>
        <v/>
      </c>
      <c r="Y36">
        <f>HYPERLINK("https://klasma.github.io/Logging_1463/tillsynsmail/A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45740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45740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45740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45740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45740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45740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45740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45740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45740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45740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45740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45740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45740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45740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45740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45740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45740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45740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45740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45740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45740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45740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45740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45740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45740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45740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45740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45740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45740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45740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45740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45740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45740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45740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45740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45740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45740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45740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45740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45740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45740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45740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45740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45740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45740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45740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45740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45740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45740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45740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45740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45740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45740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45740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45740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45740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45740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45740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45740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45740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45740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45740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45740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45740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45740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45740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45740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45740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45740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45740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45740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45740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45740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45740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45740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45740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45740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45740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45740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45740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45740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45740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45740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45740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45740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45740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45740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45740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45740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45740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45740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45740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45740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45740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45740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45740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45740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45740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45740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45740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45740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45740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45740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45740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45740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45740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45740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45740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45740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45740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45740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45740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45740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45740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45740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45740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45740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45740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45740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45740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45740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45740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45740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45740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45740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45740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45740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45740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45740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45740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45740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45740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45740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45740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45740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45740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45740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45740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45740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45740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45740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45740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45740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45740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45740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45740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45740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45740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45740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45740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45740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45740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45740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45740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45740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45740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45740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45740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45740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45740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45740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45740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45740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45740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45740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45740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45740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45740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45740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45740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45740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45740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45740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45740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45740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45740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45740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45740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45740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45740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45740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45740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45740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45740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45740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45740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45740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45740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45740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45740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45740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45740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45740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45740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45740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45740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45740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45740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45740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45740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45740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45740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45740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45740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45740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45740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45740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45740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45740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45740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45740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45740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45740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45740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45740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45740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45740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45740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45740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45740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45740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45740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45740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45740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45740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45740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45740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45740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45740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45740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45740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45740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45740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45740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45740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45740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45740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45740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45740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45740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45740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45740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45740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45740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45740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45740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45740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45740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45740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45740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45740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45740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45740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45740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45740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45740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45740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45740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45740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45740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45740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45740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45740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45740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45740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45740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45740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45740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45740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45740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45740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45740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45740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45740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45740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45740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45740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45740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45740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45740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45740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45740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45740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45740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45740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45740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45740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45740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45740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45740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45740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45740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45740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45740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45740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45740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45740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45740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45740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45740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45740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45740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45740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45740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45740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45740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45740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45740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45740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45740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45740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45740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45740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45740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45740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45740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45740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45740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45740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45740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45740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45740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45740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45740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45740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45740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45740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45740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45740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45740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45740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45740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45740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45740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45740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45740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45740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45740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45740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45740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45740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45740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45740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45740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45740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45740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45740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45740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45740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45740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45740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45740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45740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45740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45740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45740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45740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45740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45740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45740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45740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45740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45740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45740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45740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45740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45740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45740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45740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45740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45740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45740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45740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45740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45740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45740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45740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45740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45740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45740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45740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45740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45740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45740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45740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45740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45740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45740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45740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45740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45740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45740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45740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45740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45740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45740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45740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45740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45740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45740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45740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45740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45740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45740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45740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45740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45740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45740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45740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45740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45740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45740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45740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45740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45740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45740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45740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45740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45740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45740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45740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45740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45740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45740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45740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45740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45740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45740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45740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45740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45740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45740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45740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45740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45740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45740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45740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45740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45740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45740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45740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45740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45740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45740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45740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45740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45740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45740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45740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45740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45740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45740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45740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45740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45740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45740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45740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45740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45740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45740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45740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45740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45740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45740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45740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45740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45740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45740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45740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45740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45740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45740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45740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45740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45740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45740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45740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45740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45740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45740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45740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45740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45740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45740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45740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45740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45740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45740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45740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45740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45740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45740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45740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45740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45740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45740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45740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45740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45740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45740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45740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45740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45740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45740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45740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45740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45740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45740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45740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45740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45740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45740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45740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45740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45740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45740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45740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45740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45740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45740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45740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45740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45740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45740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45740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45740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45740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45740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45740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45740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45740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45740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45740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45740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45740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45740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45740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45740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45740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45740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45740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45740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45740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45740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45740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45740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45740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45740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45740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45740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45740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45740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45740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45740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45740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45740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45740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45740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45740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45740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45740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45740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45740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45740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45740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45740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45740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45740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45740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45740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45740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45740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45740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45740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45740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45740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45740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45740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45740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45740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45740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45740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45740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45740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45740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45740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45740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45740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45740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45740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45740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45740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45740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45740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45740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45740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45740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45740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45740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45740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45740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45740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45740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45740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45740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45740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45740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45740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45740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45740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45740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45740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45740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45740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45740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45740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45740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45740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45740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45740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45740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45740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45740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45740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45740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45740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45740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45740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45740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45740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45740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45740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45740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45740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45740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45740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45740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45740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45740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45740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45740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45740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45740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45740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45740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45740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45740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45740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45740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45740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45740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45740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45740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45740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45740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45740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45740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45740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45740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45740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45740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45740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45740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45740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45740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45740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45740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45740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45740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45740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45740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45740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45740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45740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45740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45740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45740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45740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45740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45740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45740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45740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45740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45740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45740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45740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45740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45740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45740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45740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45740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45740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45740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45740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45740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45740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45740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45740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45740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45740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45740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45740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45740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45740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45740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45740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45740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45740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45740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45740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45740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45740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45740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45740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45740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45740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45740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45740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45740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45740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45740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45740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45740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45740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45740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45740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45740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45740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45740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45740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45740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45740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45740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45740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45740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45740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45740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45740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45740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45740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45740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45740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45740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45740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45740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45740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45740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45740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45740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45740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45740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45740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45740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45740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45740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45740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45740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45740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45740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45740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45740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45740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45740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45740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45740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45740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45740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45740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45740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45740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45740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45740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45740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45740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45740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45740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45740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45740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45740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45740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45740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45740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45740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45740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45740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45740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45740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45740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45740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45740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45740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45740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45740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45740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45740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45740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45740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45740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45740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45740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45740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45740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45740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45740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45740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45740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45740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45740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45740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45740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45740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45740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45740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45740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45740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45740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45740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45740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45740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45740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45740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45740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45740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45740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45740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45740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45740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45740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45740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45740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45740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45740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45740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45740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45740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45740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45740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45740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45740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45740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45740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45740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45740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45740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45740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45740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45740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45740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45740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45740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45740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45740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45740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45740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45740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45740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45740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45740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45740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45740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45740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45740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45740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45740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45740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45740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45740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45740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45740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45740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45740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45740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45740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45740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45740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45740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45740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45740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45740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45740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45740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45740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45740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45740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45740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45740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45740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45740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45740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45740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45740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45740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45740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45740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45740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45740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45740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45740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45740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45740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45740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45740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45740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45740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45740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45740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45740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45740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45740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45740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45740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45740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45740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45740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45740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45740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45740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45740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45740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45740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45740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45740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45740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45740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45740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45740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45740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45740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45740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45740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45740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45740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45740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45740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45740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45740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45740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45740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45740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45740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45740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45740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45740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45740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45740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45740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45740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45740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45740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45740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45740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45740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45740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45740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45740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45740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45740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45740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45740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45740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45740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45740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45740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45740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45740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45740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45740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45740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45740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45740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45740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45740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45740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45740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45740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45740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45740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45740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45740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45740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45740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45740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45740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45740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45740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45740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45740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45740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45740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45740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45740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45740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45740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45740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45740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45740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45740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45740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45740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45740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45740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45740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45740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45740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45740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45740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45740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45740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45740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45740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45740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45740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45740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8993-2025</t>
        </is>
      </c>
      <c r="B1050" s="1" t="n">
        <v>45713</v>
      </c>
      <c r="C1050" s="1" t="n">
        <v>45740</v>
      </c>
      <c r="D1050" t="inlineStr">
        <is>
          <t>VÄSTRA GÖTALANDS LÄN</t>
        </is>
      </c>
      <c r="E1050" t="inlineStr">
        <is>
          <t>MARK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8977-2025</t>
        </is>
      </c>
      <c r="B1051" s="1" t="n">
        <v>45713</v>
      </c>
      <c r="C1051" s="1" t="n">
        <v>45740</v>
      </c>
      <c r="D1051" t="inlineStr">
        <is>
          <t>VÄSTRA GÖTALANDS LÄN</t>
        </is>
      </c>
      <c r="E1051" t="inlineStr">
        <is>
          <t>MARK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45740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8886-2025</t>
        </is>
      </c>
      <c r="B1053" s="1" t="n">
        <v>45713</v>
      </c>
      <c r="C1053" s="1" t="n">
        <v>45740</v>
      </c>
      <c r="D1053" t="inlineStr">
        <is>
          <t>VÄSTRA GÖTALANDS LÄN</t>
        </is>
      </c>
      <c r="E1053" t="inlineStr">
        <is>
          <t>MARK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9113-2025</t>
        </is>
      </c>
      <c r="B1054" s="1" t="n">
        <v>45713</v>
      </c>
      <c r="C1054" s="1" t="n">
        <v>45740</v>
      </c>
      <c r="D1054" t="inlineStr">
        <is>
          <t>VÄSTRA GÖTALANDS LÄN</t>
        </is>
      </c>
      <c r="E1054" t="inlineStr">
        <is>
          <t>MARK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45740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45740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45740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10011-2025</t>
        </is>
      </c>
      <c r="B1058" s="1" t="n">
        <v>45719</v>
      </c>
      <c r="C1058" s="1" t="n">
        <v>45740</v>
      </c>
      <c r="D1058" t="inlineStr">
        <is>
          <t>VÄSTRA GÖTALANDS LÄN</t>
        </is>
      </c>
      <c r="E1058" t="inlineStr">
        <is>
          <t>MARK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10138-2025</t>
        </is>
      </c>
      <c r="B1059" s="1" t="n">
        <v>45719</v>
      </c>
      <c r="C1059" s="1" t="n">
        <v>45740</v>
      </c>
      <c r="D1059" t="inlineStr">
        <is>
          <t>VÄSTRA GÖTALANDS LÄN</t>
        </is>
      </c>
      <c r="E1059" t="inlineStr">
        <is>
          <t>MARK</t>
        </is>
      </c>
      <c r="F1059" t="inlineStr">
        <is>
          <t>Sveaskog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45740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45740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45740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45740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11175-2025</t>
        </is>
      </c>
      <c r="B1064" s="1" t="n">
        <v>45724</v>
      </c>
      <c r="C1064" s="1" t="n">
        <v>45740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45740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45740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45740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45740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45740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45740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13923-2025</t>
        </is>
      </c>
      <c r="B1071" s="1" t="n">
        <v>45737</v>
      </c>
      <c r="C1071" s="1" t="n">
        <v>45740</v>
      </c>
      <c r="D1071" t="inlineStr">
        <is>
          <t>VÄSTRA GÖTALANDS LÄN</t>
        </is>
      </c>
      <c r="E1071" t="inlineStr">
        <is>
          <t>MARK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13927-2025</t>
        </is>
      </c>
      <c r="B1072" s="1" t="n">
        <v>45737</v>
      </c>
      <c r="C1072" s="1" t="n">
        <v>45740</v>
      </c>
      <c r="D1072" t="inlineStr">
        <is>
          <t>VÄSTRA GÖTALANDS LÄN</t>
        </is>
      </c>
      <c r="E1072" t="inlineStr">
        <is>
          <t>MARK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13896-2025</t>
        </is>
      </c>
      <c r="B1073" s="1" t="n">
        <v>45737</v>
      </c>
      <c r="C1073" s="1" t="n">
        <v>45740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2025-03-24T18:08:28Z</dcterms:created>
  <dcterms:modified xmlns:dcterms="http://purl.org/dc/terms/" xmlns:xsi="http://www.w3.org/2001/XMLSchema-instance" xsi:type="dcterms:W3CDTF">2025-03-24T18:08:28Z</dcterms:modified>
</cp:coreProperties>
</file>