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46003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46003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46003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46003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46003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46003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46003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46003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46003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46003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46003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36840-2021</t>
        </is>
      </c>
      <c r="B13" s="1" t="n">
        <v>44393</v>
      </c>
      <c r="C13" s="1" t="n">
        <v>46003</v>
      </c>
      <c r="D13" t="inlineStr">
        <is>
          <t>VÄSTRA GÖTALANDS LÄN</t>
        </is>
      </c>
      <c r="E13" t="inlineStr">
        <is>
          <t>MARK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HYPERLINK("https://klasma.github.io/Logging_1463/artfynd/A 36840-2021 artfynd.xlsx", "A 36840-2021")</f>
        <v/>
      </c>
      <c r="T13">
        <f>HYPERLINK("https://klasma.github.io/Logging_1463/kartor/A 36840-2021 karta.png", "A 36840-2021")</f>
        <v/>
      </c>
      <c r="V13">
        <f>HYPERLINK("https://klasma.github.io/Logging_1463/klagomål/A 36840-2021 FSC-klagomål.docx", "A 36840-2021")</f>
        <v/>
      </c>
      <c r="W13">
        <f>HYPERLINK("https://klasma.github.io/Logging_1463/klagomålsmail/A 36840-2021 FSC-klagomål mail.docx", "A 36840-2021")</f>
        <v/>
      </c>
      <c r="X13">
        <f>HYPERLINK("https://klasma.github.io/Logging_1463/tillsyn/A 36840-2021 tillsynsbegäran.docx", "A 36840-2021")</f>
        <v/>
      </c>
      <c r="Y13">
        <f>HYPERLINK("https://klasma.github.io/Logging_1463/tillsynsmail/A 36840-2021 tillsynsbegäran mail.docx", "A 36840-2021")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46003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33955-2023</t>
        </is>
      </c>
      <c r="B15" s="1" t="n">
        <v>45134.59957175926</v>
      </c>
      <c r="C15" s="1" t="n">
        <v>46003</v>
      </c>
      <c r="D15" t="inlineStr">
        <is>
          <t>VÄSTRA GÖTALANDS LÄN</t>
        </is>
      </c>
      <c r="E15" t="inlineStr">
        <is>
          <t>MARK</t>
        </is>
      </c>
      <c r="G15" t="n">
        <v>10.7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HYPERLINK("https://klasma.github.io/Logging_1463/artfynd/A 33955-2023 artfynd.xlsx", "A 33955-2023")</f>
        <v/>
      </c>
      <c r="T15">
        <f>HYPERLINK("https://klasma.github.io/Logging_1463/kartor/A 33955-2023 karta.png", "A 33955-2023")</f>
        <v/>
      </c>
      <c r="V15">
        <f>HYPERLINK("https://klasma.github.io/Logging_1463/klagomål/A 33955-2023 FSC-klagomål.docx", "A 33955-2023")</f>
        <v/>
      </c>
      <c r="W15">
        <f>HYPERLINK("https://klasma.github.io/Logging_1463/klagomålsmail/A 33955-2023 FSC-klagomål mail.docx", "A 33955-2023")</f>
        <v/>
      </c>
      <c r="X15">
        <f>HYPERLINK("https://klasma.github.io/Logging_1463/tillsyn/A 33955-2023 tillsynsbegäran.docx", "A 33955-2023")</f>
        <v/>
      </c>
      <c r="Y15">
        <f>HYPERLINK("https://klasma.github.io/Logging_1463/tillsynsmail/A 33955-2023 tillsynsbegäran mail.docx", "A 33955-2023")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46003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46003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9504-2024</t>
        </is>
      </c>
      <c r="B18" s="1" t="n">
        <v>45359.61542824074</v>
      </c>
      <c r="C18" s="1" t="n">
        <v>46003</v>
      </c>
      <c r="D18" t="inlineStr">
        <is>
          <t>VÄSTRA GÖTALANDS LÄN</t>
        </is>
      </c>
      <c r="E18" t="inlineStr">
        <is>
          <t>MARK</t>
        </is>
      </c>
      <c r="G18" t="n">
        <v>9.199999999999999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Svävflugedagsvärmare</t>
        </is>
      </c>
      <c r="S18">
        <f>HYPERLINK("https://klasma.github.io/Logging_1463/artfynd/A 9504-2024 artfynd.xlsx", "A 9504-2024")</f>
        <v/>
      </c>
      <c r="T18">
        <f>HYPERLINK("https://klasma.github.io/Logging_1463/kartor/A 9504-2024 karta.png", "A 9504-2024")</f>
        <v/>
      </c>
      <c r="V18">
        <f>HYPERLINK("https://klasma.github.io/Logging_1463/klagomål/A 9504-2024 FSC-klagomål.docx", "A 9504-2024")</f>
        <v/>
      </c>
      <c r="W18">
        <f>HYPERLINK("https://klasma.github.io/Logging_1463/klagomålsmail/A 9504-2024 FSC-klagomål mail.docx", "A 9504-2024")</f>
        <v/>
      </c>
      <c r="X18">
        <f>HYPERLINK("https://klasma.github.io/Logging_1463/tillsyn/A 9504-2024 tillsynsbegäran.docx", "A 9504-2024")</f>
        <v/>
      </c>
      <c r="Y18">
        <f>HYPERLINK("https://klasma.github.io/Logging_1463/tillsynsmail/A 9504-2024 tillsynsbegäran mail.docx", "A 9504-2024")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46003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59263-2024</t>
        </is>
      </c>
      <c r="B20" s="1" t="n">
        <v>45637.60543981481</v>
      </c>
      <c r="C20" s="1" t="n">
        <v>46003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59263-2024 artfynd.xlsx", "A 59263-2024")</f>
        <v/>
      </c>
      <c r="T20">
        <f>HYPERLINK("https://klasma.github.io/Logging_1463/kartor/A 59263-2024 karta.png", "A 59263-2024")</f>
        <v/>
      </c>
      <c r="V20">
        <f>HYPERLINK("https://klasma.github.io/Logging_1463/klagomål/A 59263-2024 FSC-klagomål.docx", "A 59263-2024")</f>
        <v/>
      </c>
      <c r="W20">
        <f>HYPERLINK("https://klasma.github.io/Logging_1463/klagomålsmail/A 59263-2024 FSC-klagomål mail.docx", "A 59263-2024")</f>
        <v/>
      </c>
      <c r="X20">
        <f>HYPERLINK("https://klasma.github.io/Logging_1463/tillsyn/A 59263-2024 tillsynsbegäran.docx", "A 59263-2024")</f>
        <v/>
      </c>
      <c r="Y20">
        <f>HYPERLINK("https://klasma.github.io/Logging_1463/tillsynsmail/A 59263-2024 tillsynsbegäran mail.docx", "A 59263-2024")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46003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46003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16279-2025</t>
        </is>
      </c>
      <c r="B23" s="1" t="n">
        <v>45751</v>
      </c>
      <c r="C23" s="1" t="n">
        <v>46003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HYPERLINK("https://klasma.github.io/Logging_1463/artfynd/A 16279-2025 artfynd.xlsx", "A 16279-2025")</f>
        <v/>
      </c>
      <c r="T23">
        <f>HYPERLINK("https://klasma.github.io/Logging_1463/kartor/A 16279-2025 karta.png", "A 16279-2025")</f>
        <v/>
      </c>
      <c r="V23">
        <f>HYPERLINK("https://klasma.github.io/Logging_1463/klagomål/A 16279-2025 FSC-klagomål.docx", "A 16279-2025")</f>
        <v/>
      </c>
      <c r="W23">
        <f>HYPERLINK("https://klasma.github.io/Logging_1463/klagomålsmail/A 16279-2025 FSC-klagomål mail.docx", "A 16279-2025")</f>
        <v/>
      </c>
      <c r="X23">
        <f>HYPERLINK("https://klasma.github.io/Logging_1463/tillsyn/A 16279-2025 tillsynsbegäran.docx", "A 16279-2025")</f>
        <v/>
      </c>
      <c r="Y23">
        <f>HYPERLINK("https://klasma.github.io/Logging_1463/tillsynsmail/A 16279-2025 tillsynsbegäran mail.docx", "A 16279-2025")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46003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46003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12807-2023</t>
        </is>
      </c>
      <c r="B26" s="1" t="n">
        <v>45001</v>
      </c>
      <c r="C26" s="1" t="n">
        <v>46003</v>
      </c>
      <c r="D26" t="inlineStr">
        <is>
          <t>VÄSTRA GÖTALANDS LÄN</t>
        </is>
      </c>
      <c r="E26" t="inlineStr">
        <is>
          <t>MARK</t>
        </is>
      </c>
      <c r="G26" t="n">
        <v>2.2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12807-2023 artfynd.xlsx", "A 12807-2023")</f>
        <v/>
      </c>
      <c r="T26">
        <f>HYPERLINK("https://klasma.github.io/Logging_1463/kartor/A 12807-2023 karta.png", "A 12807-2023")</f>
        <v/>
      </c>
      <c r="U26">
        <f>HYPERLINK("https://klasma.github.io/Logging_1463/knärot/A 12807-2023 karta knärot.png", "A 12807-2023")</f>
        <v/>
      </c>
      <c r="V26">
        <f>HYPERLINK("https://klasma.github.io/Logging_1463/klagomål/A 12807-2023 FSC-klagomål.docx", "A 12807-2023")</f>
        <v/>
      </c>
      <c r="W26">
        <f>HYPERLINK("https://klasma.github.io/Logging_1463/klagomålsmail/A 12807-2023 FSC-klagomål mail.docx", "A 12807-2023")</f>
        <v/>
      </c>
      <c r="X26">
        <f>HYPERLINK("https://klasma.github.io/Logging_1463/tillsyn/A 12807-2023 tillsynsbegäran.docx", "A 12807-2023")</f>
        <v/>
      </c>
      <c r="Y26">
        <f>HYPERLINK("https://klasma.github.io/Logging_1463/tillsynsmail/A 12807-2023 tillsynsbegäran mail.docx", "A 12807-2023")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46003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45864-2025</t>
        </is>
      </c>
      <c r="B28" s="1" t="n">
        <v>45923.64543981481</v>
      </c>
      <c r="C28" s="1" t="n">
        <v>46003</v>
      </c>
      <c r="D28" t="inlineStr">
        <is>
          <t>VÄSTRA GÖTALANDS LÄN</t>
        </is>
      </c>
      <c r="E28" t="inlineStr">
        <is>
          <t>MARK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HYPERLINK("https://klasma.github.io/Logging_1463/artfynd/A 45864-2025 artfynd.xlsx", "A 45864-2025")</f>
        <v/>
      </c>
      <c r="T28">
        <f>HYPERLINK("https://klasma.github.io/Logging_1463/kartor/A 45864-2025 karta.png", "A 45864-2025")</f>
        <v/>
      </c>
      <c r="V28">
        <f>HYPERLINK("https://klasma.github.io/Logging_1463/klagomål/A 45864-2025 FSC-klagomål.docx", "A 45864-2025")</f>
        <v/>
      </c>
      <c r="W28">
        <f>HYPERLINK("https://klasma.github.io/Logging_1463/klagomålsmail/A 45864-2025 FSC-klagomål mail.docx", "A 45864-2025")</f>
        <v/>
      </c>
      <c r="X28">
        <f>HYPERLINK("https://klasma.github.io/Logging_1463/tillsyn/A 45864-2025 tillsynsbegäran.docx", "A 45864-2025")</f>
        <v/>
      </c>
      <c r="Y28">
        <f>HYPERLINK("https://klasma.github.io/Logging_1463/tillsynsmail/A 45864-2025 tillsynsbegäran mail.docx", "A 45864-2025")</f>
        <v/>
      </c>
      <c r="Z28">
        <f>HYPERLINK("https://klasma.github.io/Logging_1463/fåglar/A 45864-2025 prioriterade fågelarter.docx", "A 45864-2025")</f>
        <v/>
      </c>
    </row>
    <row r="29" ht="15" customHeight="1">
      <c r="A29" t="inlineStr">
        <is>
          <t>A 16997-2024</t>
        </is>
      </c>
      <c r="B29" s="1" t="n">
        <v>45412.35115740741</v>
      </c>
      <c r="C29" s="1" t="n">
        <v>46003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46003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46003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46003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1009-2021</t>
        </is>
      </c>
      <c r="B33" s="1" t="n">
        <v>44204</v>
      </c>
      <c r="C33" s="1" t="n">
        <v>46003</v>
      </c>
      <c r="D33" t="inlineStr">
        <is>
          <t>VÄSTRA GÖTALANDS LÄN</t>
        </is>
      </c>
      <c r="E33" t="inlineStr">
        <is>
          <t>MARK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46003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2981-2021</t>
        </is>
      </c>
      <c r="B35" s="1" t="n">
        <v>44216</v>
      </c>
      <c r="C35" s="1" t="n">
        <v>46003</v>
      </c>
      <c r="D35" t="inlineStr">
        <is>
          <t>VÄSTRA GÖTALANDS LÄN</t>
        </is>
      </c>
      <c r="E35" t="inlineStr">
        <is>
          <t>MARK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46003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28560-2021</t>
        </is>
      </c>
      <c r="B37" s="1" t="n">
        <v>44356.69309027777</v>
      </c>
      <c r="C37" s="1" t="n">
        <v>46003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54954-2021</t>
        </is>
      </c>
      <c r="B38" s="1" t="n">
        <v>44474.47417824074</v>
      </c>
      <c r="C38" s="1" t="n">
        <v>46003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46003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51797-2021</t>
        </is>
      </c>
      <c r="B40" s="1" t="n">
        <v>44462.63516203704</v>
      </c>
      <c r="C40" s="1" t="n">
        <v>46003</v>
      </c>
      <c r="D40" t="inlineStr">
        <is>
          <t>VÄSTRA GÖTALANDS LÄN</t>
        </is>
      </c>
      <c r="E40" t="inlineStr">
        <is>
          <t>MARK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12912-2021</t>
        </is>
      </c>
      <c r="B41" s="1" t="n">
        <v>44271</v>
      </c>
      <c r="C41" s="1" t="n">
        <v>46003</v>
      </c>
      <c r="D41" t="inlineStr">
        <is>
          <t>VÄSTRA GÖTALANDS LÄN</t>
        </is>
      </c>
      <c r="E41" t="inlineStr">
        <is>
          <t>MARK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25481-2021</t>
        </is>
      </c>
      <c r="B42" s="1" t="n">
        <v>44342.86346064815</v>
      </c>
      <c r="C42" s="1" t="n">
        <v>46003</v>
      </c>
      <c r="D42" t="inlineStr">
        <is>
          <t>VÄSTRA GÖTALANDS LÄN</t>
        </is>
      </c>
      <c r="E42" t="inlineStr">
        <is>
          <t>MARK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69513-2021</t>
        </is>
      </c>
      <c r="B43" s="1" t="n">
        <v>44531</v>
      </c>
      <c r="C43" s="1" t="n">
        <v>46003</v>
      </c>
      <c r="D43" t="inlineStr">
        <is>
          <t>VÄSTRA GÖTALANDS LÄN</t>
        </is>
      </c>
      <c r="E43" t="inlineStr">
        <is>
          <t>MARK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31787-2021</t>
        </is>
      </c>
      <c r="B44" s="1" t="n">
        <v>44370.34480324074</v>
      </c>
      <c r="C44" s="1" t="n">
        <v>46003</v>
      </c>
      <c r="D44" t="inlineStr">
        <is>
          <t>VÄSTRA GÖTALANDS LÄN</t>
        </is>
      </c>
      <c r="E44" t="inlineStr">
        <is>
          <t>MARK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46003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46003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46003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46003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46017-2021</t>
        </is>
      </c>
      <c r="B49" s="1" t="n">
        <v>44441.90895833333</v>
      </c>
      <c r="C49" s="1" t="n">
        <v>46003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896-2021</t>
        </is>
      </c>
      <c r="B50" s="1" t="n">
        <v>44206.78572916667</v>
      </c>
      <c r="C50" s="1" t="n">
        <v>46003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49196-2021</t>
        </is>
      </c>
      <c r="B51" s="1" t="n">
        <v>44453</v>
      </c>
      <c r="C51" s="1" t="n">
        <v>46003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67230-2021</t>
        </is>
      </c>
      <c r="B52" s="1" t="n">
        <v>44523.53108796296</v>
      </c>
      <c r="C52" s="1" t="n">
        <v>46003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31236-2021</t>
        </is>
      </c>
      <c r="B53" s="1" t="n">
        <v>44368</v>
      </c>
      <c r="C53" s="1" t="n">
        <v>46003</v>
      </c>
      <c r="D53" t="inlineStr">
        <is>
          <t>VÄSTRA GÖTALANDS LÄN</t>
        </is>
      </c>
      <c r="E53" t="inlineStr">
        <is>
          <t>MARK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46003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46003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60958-2021</t>
        </is>
      </c>
      <c r="B56" s="1" t="n">
        <v>44497</v>
      </c>
      <c r="C56" s="1" t="n">
        <v>46003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46003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19836-2022</t>
        </is>
      </c>
      <c r="B58" s="1" t="n">
        <v>44696</v>
      </c>
      <c r="C58" s="1" t="n">
        <v>46003</v>
      </c>
      <c r="D58" t="inlineStr">
        <is>
          <t>VÄSTRA GÖTALANDS LÄN</t>
        </is>
      </c>
      <c r="E58" t="inlineStr">
        <is>
          <t>MARK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51442-2022</t>
        </is>
      </c>
      <c r="B59" s="1" t="n">
        <v>44869</v>
      </c>
      <c r="C59" s="1" t="n">
        <v>46003</v>
      </c>
      <c r="D59" t="inlineStr">
        <is>
          <t>VÄSTRA GÖTALANDS LÄN</t>
        </is>
      </c>
      <c r="E59" t="inlineStr">
        <is>
          <t>MARK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46003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44607.34648148148</v>
      </c>
      <c r="C61" s="1" t="n">
        <v>46003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46003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46003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46003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46003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46003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46003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46003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46003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46003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46003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46003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46003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46003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46003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46003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46003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46003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73942-2021</t>
        </is>
      </c>
      <c r="B79" s="1" t="n">
        <v>44552</v>
      </c>
      <c r="C79" s="1" t="n">
        <v>46003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70090-2021</t>
        </is>
      </c>
      <c r="B80" s="1" t="n">
        <v>44533.553125</v>
      </c>
      <c r="C80" s="1" t="n">
        <v>46003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25870-2022</t>
        </is>
      </c>
      <c r="B81" s="1" t="n">
        <v>44733</v>
      </c>
      <c r="C81" s="1" t="n">
        <v>46003</v>
      </c>
      <c r="D81" t="inlineStr">
        <is>
          <t>VÄSTRA GÖTALANDS LÄN</t>
        </is>
      </c>
      <c r="E81" t="inlineStr">
        <is>
          <t>MARK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54719-2021</t>
        </is>
      </c>
      <c r="B82" s="1" t="n">
        <v>44473.77486111111</v>
      </c>
      <c r="C82" s="1" t="n">
        <v>46003</v>
      </c>
      <c r="D82" t="inlineStr">
        <is>
          <t>VÄSTRA GÖTALANDS LÄN</t>
        </is>
      </c>
      <c r="E82" t="inlineStr">
        <is>
          <t>MARK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31338-2022</t>
        </is>
      </c>
      <c r="B83" s="1" t="n">
        <v>44774.48569444445</v>
      </c>
      <c r="C83" s="1" t="n">
        <v>46003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15565-2021</t>
        </is>
      </c>
      <c r="B84" s="1" t="n">
        <v>44285</v>
      </c>
      <c r="C84" s="1" t="n">
        <v>46003</v>
      </c>
      <c r="D84" t="inlineStr">
        <is>
          <t>VÄSTRA GÖTALANDS LÄN</t>
        </is>
      </c>
      <c r="E84" t="inlineStr">
        <is>
          <t>MARK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17611-2022</t>
        </is>
      </c>
      <c r="B85" s="1" t="n">
        <v>44680.39116898148</v>
      </c>
      <c r="C85" s="1" t="n">
        <v>46003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46003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3325-2021</t>
        </is>
      </c>
      <c r="B87" s="1" t="n">
        <v>44217</v>
      </c>
      <c r="C87" s="1" t="n">
        <v>46003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52505-2022</t>
        </is>
      </c>
      <c r="B88" s="1" t="n">
        <v>44874.53378472223</v>
      </c>
      <c r="C88" s="1" t="n">
        <v>46003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59618-2021</t>
        </is>
      </c>
      <c r="B89" s="1" t="n">
        <v>44491.71606481481</v>
      </c>
      <c r="C89" s="1" t="n">
        <v>46003</v>
      </c>
      <c r="D89" t="inlineStr">
        <is>
          <t>VÄSTRA GÖTALANDS LÄN</t>
        </is>
      </c>
      <c r="E89" t="inlineStr">
        <is>
          <t>MARK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32868-2022</t>
        </is>
      </c>
      <c r="B90" s="1" t="n">
        <v>44784.50792824074</v>
      </c>
      <c r="C90" s="1" t="n">
        <v>46003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37868-2022</t>
        </is>
      </c>
      <c r="B91" s="1" t="n">
        <v>44811</v>
      </c>
      <c r="C91" s="1" t="n">
        <v>46003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57-2022</t>
        </is>
      </c>
      <c r="B92" s="1" t="n">
        <v>44564</v>
      </c>
      <c r="C92" s="1" t="n">
        <v>46003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60967-2021</t>
        </is>
      </c>
      <c r="B93" s="1" t="n">
        <v>44497</v>
      </c>
      <c r="C93" s="1" t="n">
        <v>46003</v>
      </c>
      <c r="D93" t="inlineStr">
        <is>
          <t>VÄSTRA GÖTALANDS LÄN</t>
        </is>
      </c>
      <c r="E93" t="inlineStr">
        <is>
          <t>MARK</t>
        </is>
      </c>
      <c r="F93" t="inlineStr">
        <is>
          <t>Kyrkan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30191-2021</t>
        </is>
      </c>
      <c r="B94" s="1" t="n">
        <v>44363</v>
      </c>
      <c r="C94" s="1" t="n">
        <v>46003</v>
      </c>
      <c r="D94" t="inlineStr">
        <is>
          <t>VÄSTRA GÖTALANDS LÄN</t>
        </is>
      </c>
      <c r="E94" t="inlineStr">
        <is>
          <t>MARK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36976-2021</t>
        </is>
      </c>
      <c r="B95" s="1" t="n">
        <v>44393.58277777778</v>
      </c>
      <c r="C95" s="1" t="n">
        <v>46003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53779-2021</t>
        </is>
      </c>
      <c r="B96" s="1" t="n">
        <v>44467</v>
      </c>
      <c r="C96" s="1" t="n">
        <v>46003</v>
      </c>
      <c r="D96" t="inlineStr">
        <is>
          <t>VÄSTRA GÖTALANDS LÄN</t>
        </is>
      </c>
      <c r="E96" t="inlineStr">
        <is>
          <t>MARK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58030-2021</t>
        </is>
      </c>
      <c r="B97" s="1" t="n">
        <v>44475</v>
      </c>
      <c r="C97" s="1" t="n">
        <v>46003</v>
      </c>
      <c r="D97" t="inlineStr">
        <is>
          <t>VÄSTRA GÖTALANDS LÄN</t>
        </is>
      </c>
      <c r="E97" t="inlineStr">
        <is>
          <t>MARK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46003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21586-2021</t>
        </is>
      </c>
      <c r="B99" s="1" t="n">
        <v>44321.66145833334</v>
      </c>
      <c r="C99" s="1" t="n">
        <v>46003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9014-2022</t>
        </is>
      </c>
      <c r="B100" s="1" t="n">
        <v>44615.37123842593</v>
      </c>
      <c r="C100" s="1" t="n">
        <v>46003</v>
      </c>
      <c r="D100" t="inlineStr">
        <is>
          <t>VÄSTRA GÖTALANDS LÄN</t>
        </is>
      </c>
      <c r="E100" t="inlineStr">
        <is>
          <t>MARK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58043-2021</t>
        </is>
      </c>
      <c r="B101" s="1" t="n">
        <v>44475</v>
      </c>
      <c r="C101" s="1" t="n">
        <v>46003</v>
      </c>
      <c r="D101" t="inlineStr">
        <is>
          <t>VÄSTRA GÖTALANDS LÄN</t>
        </is>
      </c>
      <c r="E101" t="inlineStr">
        <is>
          <t>MARK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14425-2022</t>
        </is>
      </c>
      <c r="B102" s="1" t="n">
        <v>44652</v>
      </c>
      <c r="C102" s="1" t="n">
        <v>46003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32230-2022</t>
        </is>
      </c>
      <c r="B103" s="1" t="n">
        <v>44781.46791666667</v>
      </c>
      <c r="C103" s="1" t="n">
        <v>46003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33-2022</t>
        </is>
      </c>
      <c r="B104" s="1" t="n">
        <v>44564.36203703703</v>
      </c>
      <c r="C104" s="1" t="n">
        <v>46003</v>
      </c>
      <c r="D104" t="inlineStr">
        <is>
          <t>VÄSTRA GÖTALANDS LÄN</t>
        </is>
      </c>
      <c r="E104" t="inlineStr">
        <is>
          <t>MARK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46003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9811-2021</t>
        </is>
      </c>
      <c r="B106" s="1" t="n">
        <v>44252</v>
      </c>
      <c r="C106" s="1" t="n">
        <v>46003</v>
      </c>
      <c r="D106" t="inlineStr">
        <is>
          <t>VÄSTRA GÖTALANDS LÄN</t>
        </is>
      </c>
      <c r="E106" t="inlineStr">
        <is>
          <t>MARK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46003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41536-2021</t>
        </is>
      </c>
      <c r="B108" s="1" t="n">
        <v>44425.34505787037</v>
      </c>
      <c r="C108" s="1" t="n">
        <v>46003</v>
      </c>
      <c r="D108" t="inlineStr">
        <is>
          <t>VÄSTRA GÖTALANDS LÄN</t>
        </is>
      </c>
      <c r="E108" t="inlineStr">
        <is>
          <t>MARK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47826-2021</t>
        </is>
      </c>
      <c r="B109" s="1" t="n">
        <v>44448</v>
      </c>
      <c r="C109" s="1" t="n">
        <v>46003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19835-2022</t>
        </is>
      </c>
      <c r="B110" s="1" t="n">
        <v>44696</v>
      </c>
      <c r="C110" s="1" t="n">
        <v>46003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46003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46003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25886-2022</t>
        </is>
      </c>
      <c r="B113" s="1" t="n">
        <v>44733</v>
      </c>
      <c r="C113" s="1" t="n">
        <v>46003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54647-2021</t>
        </is>
      </c>
      <c r="B114" s="1" t="n">
        <v>44473.62083333333</v>
      </c>
      <c r="C114" s="1" t="n">
        <v>46003</v>
      </c>
      <c r="D114" t="inlineStr">
        <is>
          <t>VÄSTRA GÖTALANDS LÄN</t>
        </is>
      </c>
      <c r="E114" t="inlineStr">
        <is>
          <t>MARK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517-2021</t>
        </is>
      </c>
      <c r="B115" s="1" t="n">
        <v>44203</v>
      </c>
      <c r="C115" s="1" t="n">
        <v>46003</v>
      </c>
      <c r="D115" t="inlineStr">
        <is>
          <t>VÄSTRA GÖTALANDS LÄN</t>
        </is>
      </c>
      <c r="E115" t="inlineStr">
        <is>
          <t>MARK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54001-2021</t>
        </is>
      </c>
      <c r="B116" s="1" t="n">
        <v>44470</v>
      </c>
      <c r="C116" s="1" t="n">
        <v>46003</v>
      </c>
      <c r="D116" t="inlineStr">
        <is>
          <t>VÄSTRA GÖTALANDS LÄN</t>
        </is>
      </c>
      <c r="E116" t="inlineStr">
        <is>
          <t>MARK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46003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26600-2021</t>
        </is>
      </c>
      <c r="B118" s="1" t="n">
        <v>44348.61502314815</v>
      </c>
      <c r="C118" s="1" t="n">
        <v>46003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13389-2021</t>
        </is>
      </c>
      <c r="B119" s="1" t="n">
        <v>44273.42744212963</v>
      </c>
      <c r="C119" s="1" t="n">
        <v>46003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22698-2021</t>
        </is>
      </c>
      <c r="B120" s="1" t="n">
        <v>44327.59719907407</v>
      </c>
      <c r="C120" s="1" t="n">
        <v>46003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15803-2021</t>
        </is>
      </c>
      <c r="B121" s="1" t="n">
        <v>44286.61305555556</v>
      </c>
      <c r="C121" s="1" t="n">
        <v>46003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51794-2021</t>
        </is>
      </c>
      <c r="B122" s="1" t="n">
        <v>44462.63238425926</v>
      </c>
      <c r="C122" s="1" t="n">
        <v>46003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35418-2021</t>
        </is>
      </c>
      <c r="B123" s="1" t="n">
        <v>44385.4378125</v>
      </c>
      <c r="C123" s="1" t="n">
        <v>46003</v>
      </c>
      <c r="D123" t="inlineStr">
        <is>
          <t>VÄSTRA GÖTALANDS LÄN</t>
        </is>
      </c>
      <c r="E123" t="inlineStr">
        <is>
          <t>MARK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24216-2022</t>
        </is>
      </c>
      <c r="B124" s="1" t="n">
        <v>44725</v>
      </c>
      <c r="C124" s="1" t="n">
        <v>46003</v>
      </c>
      <c r="D124" t="inlineStr">
        <is>
          <t>VÄSTRA GÖTALANDS LÄN</t>
        </is>
      </c>
      <c r="E124" t="inlineStr">
        <is>
          <t>MARK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38843-2021</t>
        </is>
      </c>
      <c r="B125" s="1" t="n">
        <v>44411</v>
      </c>
      <c r="C125" s="1" t="n">
        <v>46003</v>
      </c>
      <c r="D125" t="inlineStr">
        <is>
          <t>VÄSTRA GÖTALANDS LÄN</t>
        </is>
      </c>
      <c r="E125" t="inlineStr">
        <is>
          <t>MARK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8091-2022</t>
        </is>
      </c>
      <c r="B126" s="1" t="n">
        <v>44609.53788194444</v>
      </c>
      <c r="C126" s="1" t="n">
        <v>46003</v>
      </c>
      <c r="D126" t="inlineStr">
        <is>
          <t>VÄSTRA GÖTALANDS LÄN</t>
        </is>
      </c>
      <c r="E126" t="inlineStr">
        <is>
          <t>MARK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8093-2022</t>
        </is>
      </c>
      <c r="B127" s="1" t="n">
        <v>44609</v>
      </c>
      <c r="C127" s="1" t="n">
        <v>46003</v>
      </c>
      <c r="D127" t="inlineStr">
        <is>
          <t>VÄSTRA GÖTALANDS LÄN</t>
        </is>
      </c>
      <c r="E127" t="inlineStr">
        <is>
          <t>MARK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46003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10166-2022</t>
        </is>
      </c>
      <c r="B129" s="1" t="n">
        <v>44622</v>
      </c>
      <c r="C129" s="1" t="n">
        <v>46003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46003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46003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12091-2021</t>
        </is>
      </c>
      <c r="B132" s="1" t="n">
        <v>44266.50715277778</v>
      </c>
      <c r="C132" s="1" t="n">
        <v>46003</v>
      </c>
      <c r="D132" t="inlineStr">
        <is>
          <t>VÄSTRA GÖTALANDS LÄN</t>
        </is>
      </c>
      <c r="E132" t="inlineStr">
        <is>
          <t>MARK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2616-2022</t>
        </is>
      </c>
      <c r="B133" s="1" t="n">
        <v>44580</v>
      </c>
      <c r="C133" s="1" t="n">
        <v>46003</v>
      </c>
      <c r="D133" t="inlineStr">
        <is>
          <t>VÄSTRA GÖTALANDS LÄN</t>
        </is>
      </c>
      <c r="E133" t="inlineStr">
        <is>
          <t>MARK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46003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7309-2021</t>
        </is>
      </c>
      <c r="B135" s="1" t="n">
        <v>44238</v>
      </c>
      <c r="C135" s="1" t="n">
        <v>46003</v>
      </c>
      <c r="D135" t="inlineStr">
        <is>
          <t>VÄSTRA GÖTALANDS LÄN</t>
        </is>
      </c>
      <c r="E135" t="inlineStr">
        <is>
          <t>MARK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60804-2021</t>
        </is>
      </c>
      <c r="B136" s="1" t="n">
        <v>44497.29916666666</v>
      </c>
      <c r="C136" s="1" t="n">
        <v>46003</v>
      </c>
      <c r="D136" t="inlineStr">
        <is>
          <t>VÄSTRA GÖTALANDS LÄN</t>
        </is>
      </c>
      <c r="E136" t="inlineStr">
        <is>
          <t>MARK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24146-2022</t>
        </is>
      </c>
      <c r="B137" s="1" t="n">
        <v>44725</v>
      </c>
      <c r="C137" s="1" t="n">
        <v>46003</v>
      </c>
      <c r="D137" t="inlineStr">
        <is>
          <t>VÄSTRA GÖTALANDS LÄN</t>
        </is>
      </c>
      <c r="E137" t="inlineStr">
        <is>
          <t>MARK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44577-2022</t>
        </is>
      </c>
      <c r="B138" s="1" t="n">
        <v>44840.4956712963</v>
      </c>
      <c r="C138" s="1" t="n">
        <v>46003</v>
      </c>
      <c r="D138" t="inlineStr">
        <is>
          <t>VÄSTRA GÖTALANDS LÄN</t>
        </is>
      </c>
      <c r="E138" t="inlineStr">
        <is>
          <t>MARK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19223-2022</t>
        </is>
      </c>
      <c r="B139" s="1" t="n">
        <v>44692</v>
      </c>
      <c r="C139" s="1" t="n">
        <v>46003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44445-2021</t>
        </is>
      </c>
      <c r="B140" s="1" t="n">
        <v>44435</v>
      </c>
      <c r="C140" s="1" t="n">
        <v>46003</v>
      </c>
      <c r="D140" t="inlineStr">
        <is>
          <t>VÄSTRA GÖTALANDS LÄN</t>
        </is>
      </c>
      <c r="E140" t="inlineStr">
        <is>
          <t>MARK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8546-2025</t>
        </is>
      </c>
      <c r="B141" s="1" t="n">
        <v>45709.60895833333</v>
      </c>
      <c r="C141" s="1" t="n">
        <v>46003</v>
      </c>
      <c r="D141" t="inlineStr">
        <is>
          <t>VÄSTRA GÖTALANDS LÄN</t>
        </is>
      </c>
      <c r="E141" t="inlineStr">
        <is>
          <t>MARK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44249-2023</t>
        </is>
      </c>
      <c r="B142" s="1" t="n">
        <v>45188</v>
      </c>
      <c r="C142" s="1" t="n">
        <v>46003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47405-2024</t>
        </is>
      </c>
      <c r="B143" s="1" t="n">
        <v>45587.47545138889</v>
      </c>
      <c r="C143" s="1" t="n">
        <v>46003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57779-2024</t>
        </is>
      </c>
      <c r="B144" s="1" t="n">
        <v>45631.27377314815</v>
      </c>
      <c r="C144" s="1" t="n">
        <v>46003</v>
      </c>
      <c r="D144" t="inlineStr">
        <is>
          <t>VÄSTRA GÖTALANDS LÄN</t>
        </is>
      </c>
      <c r="E144" t="inlineStr">
        <is>
          <t>MARK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36300-2024</t>
        </is>
      </c>
      <c r="B145" s="1" t="n">
        <v>45534.60949074074</v>
      </c>
      <c r="C145" s="1" t="n">
        <v>46003</v>
      </c>
      <c r="D145" t="inlineStr">
        <is>
          <t>VÄSTRA GÖTALANDS LÄN</t>
        </is>
      </c>
      <c r="E145" t="inlineStr">
        <is>
          <t>MARK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3295-2025</t>
        </is>
      </c>
      <c r="B146" s="1" t="n">
        <v>45679.64409722222</v>
      </c>
      <c r="C146" s="1" t="n">
        <v>46003</v>
      </c>
      <c r="D146" t="inlineStr">
        <is>
          <t>VÄSTRA GÖTALANDS LÄN</t>
        </is>
      </c>
      <c r="E146" t="inlineStr">
        <is>
          <t>MARK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3682-2023</t>
        </is>
      </c>
      <c r="B147" s="1" t="n">
        <v>44950</v>
      </c>
      <c r="C147" s="1" t="n">
        <v>46003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15448-2022</t>
        </is>
      </c>
      <c r="B148" s="1" t="n">
        <v>44660.55568287037</v>
      </c>
      <c r="C148" s="1" t="n">
        <v>46003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16123-2024</t>
        </is>
      </c>
      <c r="B149" s="1" t="n">
        <v>45406.50541666667</v>
      </c>
      <c r="C149" s="1" t="n">
        <v>46003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5739-2022</t>
        </is>
      </c>
      <c r="B150" s="1" t="n">
        <v>44596</v>
      </c>
      <c r="C150" s="1" t="n">
        <v>46003</v>
      </c>
      <c r="D150" t="inlineStr">
        <is>
          <t>VÄSTRA GÖTALANDS LÄN</t>
        </is>
      </c>
      <c r="E150" t="inlineStr">
        <is>
          <t>MARK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4143-2022</t>
        </is>
      </c>
      <c r="B151" s="1" t="n">
        <v>44588.48253472222</v>
      </c>
      <c r="C151" s="1" t="n">
        <v>46003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4304-2024</t>
        </is>
      </c>
      <c r="B152" s="1" t="n">
        <v>45324</v>
      </c>
      <c r="C152" s="1" t="n">
        <v>46003</v>
      </c>
      <c r="D152" t="inlineStr">
        <is>
          <t>VÄSTRA GÖTALANDS LÄN</t>
        </is>
      </c>
      <c r="E152" t="inlineStr">
        <is>
          <t>MARK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38497-2021</t>
        </is>
      </c>
      <c r="B153" s="1" t="n">
        <v>44407</v>
      </c>
      <c r="C153" s="1" t="n">
        <v>46003</v>
      </c>
      <c r="D153" t="inlineStr">
        <is>
          <t>VÄSTRA GÖTALANDS LÄN</t>
        </is>
      </c>
      <c r="E153" t="inlineStr">
        <is>
          <t>MARK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17927-2024</t>
        </is>
      </c>
      <c r="B154" s="1" t="n">
        <v>45419.60194444445</v>
      </c>
      <c r="C154" s="1" t="n">
        <v>46003</v>
      </c>
      <c r="D154" t="inlineStr">
        <is>
          <t>VÄSTRA GÖTALANDS LÄN</t>
        </is>
      </c>
      <c r="E154" t="inlineStr">
        <is>
          <t>MARK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53004-2021</t>
        </is>
      </c>
      <c r="B155" s="1" t="n">
        <v>44467.65137731482</v>
      </c>
      <c r="C155" s="1" t="n">
        <v>46003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57799-2024</t>
        </is>
      </c>
      <c r="B156" s="1" t="n">
        <v>45631.34453703704</v>
      </c>
      <c r="C156" s="1" t="n">
        <v>46003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38002-2023</t>
        </is>
      </c>
      <c r="B157" s="1" t="n">
        <v>45160</v>
      </c>
      <c r="C157" s="1" t="n">
        <v>46003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16710-2022</t>
        </is>
      </c>
      <c r="B158" s="1" t="n">
        <v>44673.3947800926</v>
      </c>
      <c r="C158" s="1" t="n">
        <v>46003</v>
      </c>
      <c r="D158" t="inlineStr">
        <is>
          <t>VÄSTRA GÖTALANDS LÄN</t>
        </is>
      </c>
      <c r="E158" t="inlineStr">
        <is>
          <t>MARK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25560-2022</t>
        </is>
      </c>
      <c r="B159" s="1" t="n">
        <v>44732</v>
      </c>
      <c r="C159" s="1" t="n">
        <v>46003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61120-2023</t>
        </is>
      </c>
      <c r="B160" s="1" t="n">
        <v>45261</v>
      </c>
      <c r="C160" s="1" t="n">
        <v>46003</v>
      </c>
      <c r="D160" t="inlineStr">
        <is>
          <t>VÄSTRA GÖTALANDS LÄN</t>
        </is>
      </c>
      <c r="E160" t="inlineStr">
        <is>
          <t>MARK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4360-2022</t>
        </is>
      </c>
      <c r="B161" s="1" t="n">
        <v>44589</v>
      </c>
      <c r="C161" s="1" t="n">
        <v>46003</v>
      </c>
      <c r="D161" t="inlineStr">
        <is>
          <t>VÄSTRA GÖTALANDS LÄN</t>
        </is>
      </c>
      <c r="E161" t="inlineStr">
        <is>
          <t>MARK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44610-2023</t>
        </is>
      </c>
      <c r="B162" s="1" t="n">
        <v>45189.63023148148</v>
      </c>
      <c r="C162" s="1" t="n">
        <v>46003</v>
      </c>
      <c r="D162" t="inlineStr">
        <is>
          <t>VÄSTRA GÖTALANDS LÄN</t>
        </is>
      </c>
      <c r="E162" t="inlineStr">
        <is>
          <t>MARK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9557-2023</t>
        </is>
      </c>
      <c r="B163" s="1" t="n">
        <v>44982.32392361111</v>
      </c>
      <c r="C163" s="1" t="n">
        <v>46003</v>
      </c>
      <c r="D163" t="inlineStr">
        <is>
          <t>VÄSTRA GÖTALANDS LÄN</t>
        </is>
      </c>
      <c r="E163" t="inlineStr">
        <is>
          <t>MARK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31044-2022</t>
        </is>
      </c>
      <c r="B164" s="1" t="n">
        <v>44768</v>
      </c>
      <c r="C164" s="1" t="n">
        <v>46003</v>
      </c>
      <c r="D164" t="inlineStr">
        <is>
          <t>VÄSTRA GÖTALANDS LÄN</t>
        </is>
      </c>
      <c r="E164" t="inlineStr">
        <is>
          <t>MARK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12881-2021</t>
        </is>
      </c>
      <c r="B165" s="1" t="n">
        <v>44271</v>
      </c>
      <c r="C165" s="1" t="n">
        <v>46003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43178-2022</t>
        </is>
      </c>
      <c r="B166" s="1" t="n">
        <v>44834</v>
      </c>
      <c r="C166" s="1" t="n">
        <v>46003</v>
      </c>
      <c r="D166" t="inlineStr">
        <is>
          <t>VÄSTRA GÖTALANDS LÄN</t>
        </is>
      </c>
      <c r="E166" t="inlineStr">
        <is>
          <t>MARK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7308-2021</t>
        </is>
      </c>
      <c r="B167" s="1" t="n">
        <v>44238</v>
      </c>
      <c r="C167" s="1" t="n">
        <v>46003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54947-2021</t>
        </is>
      </c>
      <c r="B168" s="1" t="n">
        <v>44474.4662962963</v>
      </c>
      <c r="C168" s="1" t="n">
        <v>46003</v>
      </c>
      <c r="D168" t="inlineStr">
        <is>
          <t>VÄSTRA GÖTALANDS LÄN</t>
        </is>
      </c>
      <c r="E168" t="inlineStr">
        <is>
          <t>MARK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6850-2024</t>
        </is>
      </c>
      <c r="B169" s="1" t="n">
        <v>45342</v>
      </c>
      <c r="C169" s="1" t="n">
        <v>46003</v>
      </c>
      <c r="D169" t="inlineStr">
        <is>
          <t>VÄSTRA GÖTALANDS LÄN</t>
        </is>
      </c>
      <c r="E169" t="inlineStr">
        <is>
          <t>MARK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69663-2020</t>
        </is>
      </c>
      <c r="B170" s="1" t="n">
        <v>44195</v>
      </c>
      <c r="C170" s="1" t="n">
        <v>46003</v>
      </c>
      <c r="D170" t="inlineStr">
        <is>
          <t>VÄSTRA GÖTALANDS LÄN</t>
        </is>
      </c>
      <c r="E170" t="inlineStr">
        <is>
          <t>MARK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59614-2023</t>
        </is>
      </c>
      <c r="B171" s="1" t="n">
        <v>45254.64460648148</v>
      </c>
      <c r="C171" s="1" t="n">
        <v>46003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17499-2024</t>
        </is>
      </c>
      <c r="B172" s="1" t="n">
        <v>45415.53640046297</v>
      </c>
      <c r="C172" s="1" t="n">
        <v>46003</v>
      </c>
      <c r="D172" t="inlineStr">
        <is>
          <t>VÄSTRA GÖTALANDS LÄN</t>
        </is>
      </c>
      <c r="E172" t="inlineStr">
        <is>
          <t>MARK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13553-2022</t>
        </is>
      </c>
      <c r="B173" s="1" t="n">
        <v>44648</v>
      </c>
      <c r="C173" s="1" t="n">
        <v>46003</v>
      </c>
      <c r="D173" t="inlineStr">
        <is>
          <t>VÄSTRA GÖTALANDS LÄN</t>
        </is>
      </c>
      <c r="E173" t="inlineStr">
        <is>
          <t>MARK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14132-2024</t>
        </is>
      </c>
      <c r="B174" s="1" t="n">
        <v>45392.71190972222</v>
      </c>
      <c r="C174" s="1" t="n">
        <v>46003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49785-2023</t>
        </is>
      </c>
      <c r="B175" s="1" t="n">
        <v>45212</v>
      </c>
      <c r="C175" s="1" t="n">
        <v>46003</v>
      </c>
      <c r="D175" t="inlineStr">
        <is>
          <t>VÄSTRA GÖTALANDS LÄN</t>
        </is>
      </c>
      <c r="E175" t="inlineStr">
        <is>
          <t>MARK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5786-2024</t>
        </is>
      </c>
      <c r="B176" s="1" t="n">
        <v>45335</v>
      </c>
      <c r="C176" s="1" t="n">
        <v>46003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62375-2023</t>
        </is>
      </c>
      <c r="B177" s="1" t="n">
        <v>45268</v>
      </c>
      <c r="C177" s="1" t="n">
        <v>46003</v>
      </c>
      <c r="D177" t="inlineStr">
        <is>
          <t>VÄSTRA GÖTALANDS LÄN</t>
        </is>
      </c>
      <c r="E177" t="inlineStr">
        <is>
          <t>MARK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26050-2023</t>
        </is>
      </c>
      <c r="B178" s="1" t="n">
        <v>45091</v>
      </c>
      <c r="C178" s="1" t="n">
        <v>46003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52700-2023</t>
        </is>
      </c>
      <c r="B179" s="1" t="n">
        <v>45225</v>
      </c>
      <c r="C179" s="1" t="n">
        <v>46003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33685-2021</t>
        </is>
      </c>
      <c r="B180" s="1" t="n">
        <v>44378</v>
      </c>
      <c r="C180" s="1" t="n">
        <v>46003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34075-2023</t>
        </is>
      </c>
      <c r="B181" s="1" t="n">
        <v>45135.49209490741</v>
      </c>
      <c r="C181" s="1" t="n">
        <v>46003</v>
      </c>
      <c r="D181" t="inlineStr">
        <is>
          <t>VÄSTRA GÖTALANDS LÄN</t>
        </is>
      </c>
      <c r="E181" t="inlineStr">
        <is>
          <t>MARK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34161-2023</t>
        </is>
      </c>
      <c r="B182" s="1" t="n">
        <v>45137</v>
      </c>
      <c r="C182" s="1" t="n">
        <v>46003</v>
      </c>
      <c r="D182" t="inlineStr">
        <is>
          <t>VÄSTRA GÖTALANDS LÄN</t>
        </is>
      </c>
      <c r="E182" t="inlineStr">
        <is>
          <t>MARK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31880-2023</t>
        </is>
      </c>
      <c r="B183" s="1" t="n">
        <v>45106</v>
      </c>
      <c r="C183" s="1" t="n">
        <v>46003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17926-2024</t>
        </is>
      </c>
      <c r="B184" s="1" t="n">
        <v>45419.59693287037</v>
      </c>
      <c r="C184" s="1" t="n">
        <v>46003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17394-2024</t>
        </is>
      </c>
      <c r="B185" s="1" t="n">
        <v>45414.68422453704</v>
      </c>
      <c r="C185" s="1" t="n">
        <v>46003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11331-2023</t>
        </is>
      </c>
      <c r="B186" s="1" t="n">
        <v>44993.25908564815</v>
      </c>
      <c r="C186" s="1" t="n">
        <v>46003</v>
      </c>
      <c r="D186" t="inlineStr">
        <is>
          <t>VÄSTRA GÖTALANDS LÄN</t>
        </is>
      </c>
      <c r="E186" t="inlineStr">
        <is>
          <t>MARK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57605-2022</t>
        </is>
      </c>
      <c r="B187" s="1" t="n">
        <v>44897</v>
      </c>
      <c r="C187" s="1" t="n">
        <v>46003</v>
      </c>
      <c r="D187" t="inlineStr">
        <is>
          <t>VÄSTRA GÖTALANDS LÄN</t>
        </is>
      </c>
      <c r="E187" t="inlineStr">
        <is>
          <t>MARK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24449-2023</t>
        </is>
      </c>
      <c r="B188" s="1" t="n">
        <v>45076</v>
      </c>
      <c r="C188" s="1" t="n">
        <v>46003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8597-2024</t>
        </is>
      </c>
      <c r="B189" s="1" t="n">
        <v>45355.651875</v>
      </c>
      <c r="C189" s="1" t="n">
        <v>46003</v>
      </c>
      <c r="D189" t="inlineStr">
        <is>
          <t>VÄSTRA GÖTALANDS LÄN</t>
        </is>
      </c>
      <c r="E189" t="inlineStr">
        <is>
          <t>MARK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15292-2025</t>
        </is>
      </c>
      <c r="B190" s="1" t="n">
        <v>45745.71576388889</v>
      </c>
      <c r="C190" s="1" t="n">
        <v>46003</v>
      </c>
      <c r="D190" t="inlineStr">
        <is>
          <t>VÄSTRA GÖTALANDS LÄN</t>
        </is>
      </c>
      <c r="E190" t="inlineStr">
        <is>
          <t>MARK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11493-2024</t>
        </is>
      </c>
      <c r="B191" s="1" t="n">
        <v>45372.64321759259</v>
      </c>
      <c r="C191" s="1" t="n">
        <v>46003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32154-2021</t>
        </is>
      </c>
      <c r="B192" s="1" t="n">
        <v>44371</v>
      </c>
      <c r="C192" s="1" t="n">
        <v>46003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24144-2021</t>
        </is>
      </c>
      <c r="B193" s="1" t="n">
        <v>44336</v>
      </c>
      <c r="C193" s="1" t="n">
        <v>46003</v>
      </c>
      <c r="D193" t="inlineStr">
        <is>
          <t>VÄSTRA GÖTALANDS LÄN</t>
        </is>
      </c>
      <c r="E193" t="inlineStr">
        <is>
          <t>MARK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18600-2025</t>
        </is>
      </c>
      <c r="B194" s="1" t="n">
        <v>45763.49094907408</v>
      </c>
      <c r="C194" s="1" t="n">
        <v>46003</v>
      </c>
      <c r="D194" t="inlineStr">
        <is>
          <t>VÄSTRA GÖTALANDS LÄN</t>
        </is>
      </c>
      <c r="E194" t="inlineStr">
        <is>
          <t>MARK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59419-2024</t>
        </is>
      </c>
      <c r="B195" s="1" t="n">
        <v>45638.40734953704</v>
      </c>
      <c r="C195" s="1" t="n">
        <v>46003</v>
      </c>
      <c r="D195" t="inlineStr">
        <is>
          <t>VÄSTRA GÖTALANDS LÄN</t>
        </is>
      </c>
      <c r="E195" t="inlineStr">
        <is>
          <t>MARK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46450-2023</t>
        </is>
      </c>
      <c r="B196" s="1" t="n">
        <v>45197.59765046297</v>
      </c>
      <c r="C196" s="1" t="n">
        <v>46003</v>
      </c>
      <c r="D196" t="inlineStr">
        <is>
          <t>VÄSTRA GÖTALANDS LÄN</t>
        </is>
      </c>
      <c r="E196" t="inlineStr">
        <is>
          <t>MARK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14746-2024</t>
        </is>
      </c>
      <c r="B197" s="1" t="n">
        <v>45397.6390625</v>
      </c>
      <c r="C197" s="1" t="n">
        <v>46003</v>
      </c>
      <c r="D197" t="inlineStr">
        <is>
          <t>VÄSTRA GÖTALANDS LÄN</t>
        </is>
      </c>
      <c r="E197" t="inlineStr">
        <is>
          <t>MARK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61269-2023</t>
        </is>
      </c>
      <c r="B198" s="1" t="n">
        <v>45264.49877314815</v>
      </c>
      <c r="C198" s="1" t="n">
        <v>46003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54277-2022</t>
        </is>
      </c>
      <c r="B199" s="1" t="n">
        <v>44882</v>
      </c>
      <c r="C199" s="1" t="n">
        <v>46003</v>
      </c>
      <c r="D199" t="inlineStr">
        <is>
          <t>VÄSTRA GÖTALANDS LÄN</t>
        </is>
      </c>
      <c r="E199" t="inlineStr">
        <is>
          <t>MARK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45583-2023</t>
        </is>
      </c>
      <c r="B200" s="1" t="n">
        <v>45194.61690972222</v>
      </c>
      <c r="C200" s="1" t="n">
        <v>46003</v>
      </c>
      <c r="D200" t="inlineStr">
        <is>
          <t>VÄSTRA GÖTALANDS LÄN</t>
        </is>
      </c>
      <c r="E200" t="inlineStr">
        <is>
          <t>MARK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23089-2023</t>
        </is>
      </c>
      <c r="B201" s="1" t="n">
        <v>45075</v>
      </c>
      <c r="C201" s="1" t="n">
        <v>46003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63365-2023</t>
        </is>
      </c>
      <c r="B202" s="1" t="n">
        <v>45274</v>
      </c>
      <c r="C202" s="1" t="n">
        <v>46003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27203-2024</t>
        </is>
      </c>
      <c r="B203" s="1" t="n">
        <v>45471.60870370371</v>
      </c>
      <c r="C203" s="1" t="n">
        <v>46003</v>
      </c>
      <c r="D203" t="inlineStr">
        <is>
          <t>VÄSTRA GÖTALANDS LÄN</t>
        </is>
      </c>
      <c r="E203" t="inlineStr">
        <is>
          <t>MARK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43207-2022</t>
        </is>
      </c>
      <c r="B204" s="1" t="n">
        <v>44834</v>
      </c>
      <c r="C204" s="1" t="n">
        <v>46003</v>
      </c>
      <c r="D204" t="inlineStr">
        <is>
          <t>VÄSTRA GÖTALANDS LÄN</t>
        </is>
      </c>
      <c r="E204" t="inlineStr">
        <is>
          <t>MARK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11912-2024</t>
        </is>
      </c>
      <c r="B205" s="1" t="n">
        <v>45376.58174768519</v>
      </c>
      <c r="C205" s="1" t="n">
        <v>46003</v>
      </c>
      <c r="D205" t="inlineStr">
        <is>
          <t>VÄSTRA GÖTALANDS LÄN</t>
        </is>
      </c>
      <c r="E205" t="inlineStr">
        <is>
          <t>MARK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23078-2024</t>
        </is>
      </c>
      <c r="B206" s="1" t="n">
        <v>45450.49150462963</v>
      </c>
      <c r="C206" s="1" t="n">
        <v>46003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54846-2023</t>
        </is>
      </c>
      <c r="B207" s="1" t="n">
        <v>45236.58672453704</v>
      </c>
      <c r="C207" s="1" t="n">
        <v>46003</v>
      </c>
      <c r="D207" t="inlineStr">
        <is>
          <t>VÄSTRA GÖTALANDS LÄN</t>
        </is>
      </c>
      <c r="E207" t="inlineStr">
        <is>
          <t>MARK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55842-2023</t>
        </is>
      </c>
      <c r="B208" s="1" t="n">
        <v>45233</v>
      </c>
      <c r="C208" s="1" t="n">
        <v>46003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22246-2023</t>
        </is>
      </c>
      <c r="B209" s="1" t="n">
        <v>45070.30204861111</v>
      </c>
      <c r="C209" s="1" t="n">
        <v>46003</v>
      </c>
      <c r="D209" t="inlineStr">
        <is>
          <t>VÄSTRA GÖTALANDS LÄN</t>
        </is>
      </c>
      <c r="E209" t="inlineStr">
        <is>
          <t>MARK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27714-2023</t>
        </is>
      </c>
      <c r="B210" s="1" t="n">
        <v>45098</v>
      </c>
      <c r="C210" s="1" t="n">
        <v>46003</v>
      </c>
      <c r="D210" t="inlineStr">
        <is>
          <t>VÄSTRA GÖTALANDS LÄN</t>
        </is>
      </c>
      <c r="E210" t="inlineStr">
        <is>
          <t>MARK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27725-2023</t>
        </is>
      </c>
      <c r="B211" s="1" t="n">
        <v>45098.36331018519</v>
      </c>
      <c r="C211" s="1" t="n">
        <v>46003</v>
      </c>
      <c r="D211" t="inlineStr">
        <is>
          <t>VÄSTRA GÖTALANDS LÄN</t>
        </is>
      </c>
      <c r="E211" t="inlineStr">
        <is>
          <t>MARK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26943-2023</t>
        </is>
      </c>
      <c r="B212" s="1" t="n">
        <v>45093</v>
      </c>
      <c r="C212" s="1" t="n">
        <v>46003</v>
      </c>
      <c r="D212" t="inlineStr">
        <is>
          <t>VÄSTRA GÖTALANDS LÄN</t>
        </is>
      </c>
      <c r="E212" t="inlineStr">
        <is>
          <t>MARK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14991-2025</t>
        </is>
      </c>
      <c r="B213" s="1" t="n">
        <v>45743.60820601852</v>
      </c>
      <c r="C213" s="1" t="n">
        <v>46003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272-2024</t>
        </is>
      </c>
      <c r="B214" s="1" t="n">
        <v>45294</v>
      </c>
      <c r="C214" s="1" t="n">
        <v>46003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13181-2024</t>
        </is>
      </c>
      <c r="B215" s="1" t="n">
        <v>45386.43416666667</v>
      </c>
      <c r="C215" s="1" t="n">
        <v>46003</v>
      </c>
      <c r="D215" t="inlineStr">
        <is>
          <t>VÄSTRA GÖTALANDS LÄN</t>
        </is>
      </c>
      <c r="E215" t="inlineStr">
        <is>
          <t>MARK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58529-2022</t>
        </is>
      </c>
      <c r="B216" s="1" t="n">
        <v>44902.43875</v>
      </c>
      <c r="C216" s="1" t="n">
        <v>46003</v>
      </c>
      <c r="D216" t="inlineStr">
        <is>
          <t>VÄSTRA GÖTALANDS LÄN</t>
        </is>
      </c>
      <c r="E216" t="inlineStr">
        <is>
          <t>MARK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16984-2025</t>
        </is>
      </c>
      <c r="B217" s="1" t="n">
        <v>45755.4875925926</v>
      </c>
      <c r="C217" s="1" t="n">
        <v>46003</v>
      </c>
      <c r="D217" t="inlineStr">
        <is>
          <t>VÄSTRA GÖTALANDS LÄN</t>
        </is>
      </c>
      <c r="E217" t="inlineStr">
        <is>
          <t>MARK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9099-2025</t>
        </is>
      </c>
      <c r="B218" s="1" t="n">
        <v>45713.68893518519</v>
      </c>
      <c r="C218" s="1" t="n">
        <v>46003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43922-2024</t>
        </is>
      </c>
      <c r="B219" s="1" t="n">
        <v>45572.44581018519</v>
      </c>
      <c r="C219" s="1" t="n">
        <v>46003</v>
      </c>
      <c r="D219" t="inlineStr">
        <is>
          <t>VÄSTRA GÖTALANDS LÄN</t>
        </is>
      </c>
      <c r="E219" t="inlineStr">
        <is>
          <t>MARK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53979-2023</t>
        </is>
      </c>
      <c r="B220" s="1" t="n">
        <v>45231.64945601852</v>
      </c>
      <c r="C220" s="1" t="n">
        <v>46003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49108-2023</t>
        </is>
      </c>
      <c r="B221" s="1" t="n">
        <v>45210.44365740741</v>
      </c>
      <c r="C221" s="1" t="n">
        <v>46003</v>
      </c>
      <c r="D221" t="inlineStr">
        <is>
          <t>VÄSTRA GÖTALANDS LÄN</t>
        </is>
      </c>
      <c r="E221" t="inlineStr">
        <is>
          <t>MARK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59926-2022</t>
        </is>
      </c>
      <c r="B222" s="1" t="n">
        <v>44909.33916666666</v>
      </c>
      <c r="C222" s="1" t="n">
        <v>46003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25911-2022</t>
        </is>
      </c>
      <c r="B223" s="1" t="n">
        <v>44734</v>
      </c>
      <c r="C223" s="1" t="n">
        <v>46003</v>
      </c>
      <c r="D223" t="inlineStr">
        <is>
          <t>VÄSTRA GÖTALANDS LÄN</t>
        </is>
      </c>
      <c r="E223" t="inlineStr">
        <is>
          <t>MARK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47418-2023</t>
        </is>
      </c>
      <c r="B224" s="1" t="n">
        <v>45202</v>
      </c>
      <c r="C224" s="1" t="n">
        <v>46003</v>
      </c>
      <c r="D224" t="inlineStr">
        <is>
          <t>VÄSTRA GÖTALANDS LÄN</t>
        </is>
      </c>
      <c r="E224" t="inlineStr">
        <is>
          <t>MARK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33807-2022</t>
        </is>
      </c>
      <c r="B225" s="1" t="n">
        <v>44790.44344907408</v>
      </c>
      <c r="C225" s="1" t="n">
        <v>46003</v>
      </c>
      <c r="D225" t="inlineStr">
        <is>
          <t>VÄSTRA GÖTALANDS LÄN</t>
        </is>
      </c>
      <c r="E225" t="inlineStr">
        <is>
          <t>MARK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41991-2024</t>
        </is>
      </c>
      <c r="B226" s="1" t="n">
        <v>45561.64265046296</v>
      </c>
      <c r="C226" s="1" t="n">
        <v>46003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10583-2022</t>
        </is>
      </c>
      <c r="B227" s="1" t="n">
        <v>44624</v>
      </c>
      <c r="C227" s="1" t="n">
        <v>46003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706-2025</t>
        </is>
      </c>
      <c r="B228" s="1" t="n">
        <v>45665.35950231482</v>
      </c>
      <c r="C228" s="1" t="n">
        <v>46003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56194-2024</t>
        </is>
      </c>
      <c r="B229" s="1" t="n">
        <v>45624.58861111111</v>
      </c>
      <c r="C229" s="1" t="n">
        <v>46003</v>
      </c>
      <c r="D229" t="inlineStr">
        <is>
          <t>VÄSTRA GÖTALANDS LÄN</t>
        </is>
      </c>
      <c r="E229" t="inlineStr">
        <is>
          <t>MARK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56221-2024</t>
        </is>
      </c>
      <c r="B230" s="1" t="n">
        <v>45624.60966435185</v>
      </c>
      <c r="C230" s="1" t="n">
        <v>46003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3930-2024</t>
        </is>
      </c>
      <c r="B231" s="1" t="n">
        <v>45322</v>
      </c>
      <c r="C231" s="1" t="n">
        <v>46003</v>
      </c>
      <c r="D231" t="inlineStr">
        <is>
          <t>VÄSTRA GÖTALANDS LÄN</t>
        </is>
      </c>
      <c r="E231" t="inlineStr">
        <is>
          <t>MARK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27469-2024</t>
        </is>
      </c>
      <c r="B232" s="1" t="n">
        <v>45474.46328703704</v>
      </c>
      <c r="C232" s="1" t="n">
        <v>46003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51458-2024</t>
        </is>
      </c>
      <c r="B233" s="1" t="n">
        <v>45604.49313657408</v>
      </c>
      <c r="C233" s="1" t="n">
        <v>46003</v>
      </c>
      <c r="D233" t="inlineStr">
        <is>
          <t>VÄSTRA GÖTALANDS LÄN</t>
        </is>
      </c>
      <c r="E233" t="inlineStr">
        <is>
          <t>MARK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30231-2024</t>
        </is>
      </c>
      <c r="B234" s="1" t="n">
        <v>45490.47797453704</v>
      </c>
      <c r="C234" s="1" t="n">
        <v>46003</v>
      </c>
      <c r="D234" t="inlineStr">
        <is>
          <t>VÄSTRA GÖTALANDS LÄN</t>
        </is>
      </c>
      <c r="E234" t="inlineStr">
        <is>
          <t>MARK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30232-2024</t>
        </is>
      </c>
      <c r="B235" s="1" t="n">
        <v>45490.4799537037</v>
      </c>
      <c r="C235" s="1" t="n">
        <v>46003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8977-2025</t>
        </is>
      </c>
      <c r="B236" s="1" t="n">
        <v>45713.50826388889</v>
      </c>
      <c r="C236" s="1" t="n">
        <v>46003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30250-2024</t>
        </is>
      </c>
      <c r="B237" s="1" t="n">
        <v>45490.55439814815</v>
      </c>
      <c r="C237" s="1" t="n">
        <v>46003</v>
      </c>
      <c r="D237" t="inlineStr">
        <is>
          <t>VÄSTRA GÖTALANDS LÄN</t>
        </is>
      </c>
      <c r="E237" t="inlineStr">
        <is>
          <t>MARK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36093-2024</t>
        </is>
      </c>
      <c r="B238" s="1" t="n">
        <v>45533.69211805556</v>
      </c>
      <c r="C238" s="1" t="n">
        <v>46003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30159-2021</t>
        </is>
      </c>
      <c r="B239" s="1" t="n">
        <v>44363</v>
      </c>
      <c r="C239" s="1" t="n">
        <v>46003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35726-2023</t>
        </is>
      </c>
      <c r="B240" s="1" t="n">
        <v>45147.78840277778</v>
      </c>
      <c r="C240" s="1" t="n">
        <v>46003</v>
      </c>
      <c r="D240" t="inlineStr">
        <is>
          <t>VÄSTRA GÖTALANDS LÄN</t>
        </is>
      </c>
      <c r="E240" t="inlineStr">
        <is>
          <t>MARK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59228-2024</t>
        </is>
      </c>
      <c r="B241" s="1" t="n">
        <v>45637.58385416667</v>
      </c>
      <c r="C241" s="1" t="n">
        <v>46003</v>
      </c>
      <c r="D241" t="inlineStr">
        <is>
          <t>VÄSTRA GÖTALANDS LÄN</t>
        </is>
      </c>
      <c r="E241" t="inlineStr">
        <is>
          <t>MARK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36786-2023</t>
        </is>
      </c>
      <c r="B242" s="1" t="n">
        <v>45154</v>
      </c>
      <c r="C242" s="1" t="n">
        <v>46003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24787-2021</t>
        </is>
      </c>
      <c r="B243" s="1" t="n">
        <v>44340</v>
      </c>
      <c r="C243" s="1" t="n">
        <v>46003</v>
      </c>
      <c r="D243" t="inlineStr">
        <is>
          <t>VÄSTRA GÖTALANDS LÄN</t>
        </is>
      </c>
      <c r="E243" t="inlineStr">
        <is>
          <t>MARK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43404-2024</t>
        </is>
      </c>
      <c r="B244" s="1" t="n">
        <v>45568.61741898148</v>
      </c>
      <c r="C244" s="1" t="n">
        <v>46003</v>
      </c>
      <c r="D244" t="inlineStr">
        <is>
          <t>VÄSTRA GÖTALANDS LÄN</t>
        </is>
      </c>
      <c r="E244" t="inlineStr">
        <is>
          <t>MARK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2130-2025</t>
        </is>
      </c>
      <c r="B245" s="1" t="n">
        <v>45672.6562037037</v>
      </c>
      <c r="C245" s="1" t="n">
        <v>46003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2135-2025</t>
        </is>
      </c>
      <c r="B246" s="1" t="n">
        <v>45672.66568287037</v>
      </c>
      <c r="C246" s="1" t="n">
        <v>46003</v>
      </c>
      <c r="D246" t="inlineStr">
        <is>
          <t>VÄSTRA GÖTALANDS LÄN</t>
        </is>
      </c>
      <c r="E246" t="inlineStr">
        <is>
          <t>MARK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43293-2023</t>
        </is>
      </c>
      <c r="B247" s="1" t="n">
        <v>45183</v>
      </c>
      <c r="C247" s="1" t="n">
        <v>46003</v>
      </c>
      <c r="D247" t="inlineStr">
        <is>
          <t>VÄSTRA GÖTALANDS LÄN</t>
        </is>
      </c>
      <c r="E247" t="inlineStr">
        <is>
          <t>MARK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17795-2025</t>
        </is>
      </c>
      <c r="B248" s="1" t="n">
        <v>45758.54459490741</v>
      </c>
      <c r="C248" s="1" t="n">
        <v>46003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17806-2025</t>
        </is>
      </c>
      <c r="B249" s="1" t="n">
        <v>45758.55542824074</v>
      </c>
      <c r="C249" s="1" t="n">
        <v>46003</v>
      </c>
      <c r="D249" t="inlineStr">
        <is>
          <t>VÄSTRA GÖTALANDS LÄN</t>
        </is>
      </c>
      <c r="E249" t="inlineStr">
        <is>
          <t>MARK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17830-2025</t>
        </is>
      </c>
      <c r="B250" s="1" t="n">
        <v>45758.58219907407</v>
      </c>
      <c r="C250" s="1" t="n">
        <v>46003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8920-2023</t>
        </is>
      </c>
      <c r="B251" s="1" t="n">
        <v>44973</v>
      </c>
      <c r="C251" s="1" t="n">
        <v>46003</v>
      </c>
      <c r="D251" t="inlineStr">
        <is>
          <t>VÄSTRA GÖTALANDS LÄN</t>
        </is>
      </c>
      <c r="E251" t="inlineStr">
        <is>
          <t>MARK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44001-2022</t>
        </is>
      </c>
      <c r="B252" s="1" t="n">
        <v>44838</v>
      </c>
      <c r="C252" s="1" t="n">
        <v>46003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62725-2023</t>
        </is>
      </c>
      <c r="B253" s="1" t="n">
        <v>45271</v>
      </c>
      <c r="C253" s="1" t="n">
        <v>46003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54226-2022</t>
        </is>
      </c>
      <c r="B254" s="1" t="n">
        <v>44881</v>
      </c>
      <c r="C254" s="1" t="n">
        <v>46003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34071-2023</t>
        </is>
      </c>
      <c r="B255" s="1" t="n">
        <v>45135</v>
      </c>
      <c r="C255" s="1" t="n">
        <v>46003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51446-2024</t>
        </is>
      </c>
      <c r="B256" s="1" t="n">
        <v>45604.48800925926</v>
      </c>
      <c r="C256" s="1" t="n">
        <v>46003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32184-2023</t>
        </is>
      </c>
      <c r="B257" s="1" t="n">
        <v>45119</v>
      </c>
      <c r="C257" s="1" t="n">
        <v>46003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15494-2021</t>
        </is>
      </c>
      <c r="B258" s="1" t="n">
        <v>44253</v>
      </c>
      <c r="C258" s="1" t="n">
        <v>46003</v>
      </c>
      <c r="D258" t="inlineStr">
        <is>
          <t>VÄSTRA GÖTALANDS LÄN</t>
        </is>
      </c>
      <c r="E258" t="inlineStr">
        <is>
          <t>MARK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32182-2023</t>
        </is>
      </c>
      <c r="B259" s="1" t="n">
        <v>45119</v>
      </c>
      <c r="C259" s="1" t="n">
        <v>46003</v>
      </c>
      <c r="D259" t="inlineStr">
        <is>
          <t>VÄSTRA GÖTALANDS LÄN</t>
        </is>
      </c>
      <c r="E259" t="inlineStr">
        <is>
          <t>MARK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6845-2024</t>
        </is>
      </c>
      <c r="B260" s="1" t="n">
        <v>45342</v>
      </c>
      <c r="C260" s="1" t="n">
        <v>46003</v>
      </c>
      <c r="D260" t="inlineStr">
        <is>
          <t>VÄSTRA GÖTALANDS LÄN</t>
        </is>
      </c>
      <c r="E260" t="inlineStr">
        <is>
          <t>MARK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34163-2023</t>
        </is>
      </c>
      <c r="B261" s="1" t="n">
        <v>45137</v>
      </c>
      <c r="C261" s="1" t="n">
        <v>46003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61512-2024</t>
        </is>
      </c>
      <c r="B262" s="1" t="n">
        <v>45646.57030092592</v>
      </c>
      <c r="C262" s="1" t="n">
        <v>46003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33376-2021</t>
        </is>
      </c>
      <c r="B263" s="1" t="n">
        <v>44377</v>
      </c>
      <c r="C263" s="1" t="n">
        <v>46003</v>
      </c>
      <c r="D263" t="inlineStr">
        <is>
          <t>VÄSTRA GÖTALANDS LÄN</t>
        </is>
      </c>
      <c r="E263" t="inlineStr">
        <is>
          <t>MARK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56905-2023</t>
        </is>
      </c>
      <c r="B264" s="1" t="n">
        <v>45244</v>
      </c>
      <c r="C264" s="1" t="n">
        <v>46003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3408-2021</t>
        </is>
      </c>
      <c r="B265" s="1" t="n">
        <v>44218</v>
      </c>
      <c r="C265" s="1" t="n">
        <v>46003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4027-2023</t>
        </is>
      </c>
      <c r="B266" s="1" t="n">
        <v>44952.56377314815</v>
      </c>
      <c r="C266" s="1" t="n">
        <v>46003</v>
      </c>
      <c r="D266" t="inlineStr">
        <is>
          <t>VÄSTRA GÖTALANDS LÄN</t>
        </is>
      </c>
      <c r="E266" t="inlineStr">
        <is>
          <t>MARK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34162-2023</t>
        </is>
      </c>
      <c r="B267" s="1" t="n">
        <v>45137</v>
      </c>
      <c r="C267" s="1" t="n">
        <v>46003</v>
      </c>
      <c r="D267" t="inlineStr">
        <is>
          <t>VÄSTRA GÖTALANDS LÄN</t>
        </is>
      </c>
      <c r="E267" t="inlineStr">
        <is>
          <t>MARK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55014-2023</t>
        </is>
      </c>
      <c r="B268" s="1" t="n">
        <v>45237.31819444444</v>
      </c>
      <c r="C268" s="1" t="n">
        <v>46003</v>
      </c>
      <c r="D268" t="inlineStr">
        <is>
          <t>VÄSTRA GÖTALANDS LÄN</t>
        </is>
      </c>
      <c r="E268" t="inlineStr">
        <is>
          <t>MARK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11663-2022</t>
        </is>
      </c>
      <c r="B269" s="1" t="n">
        <v>44632.75332175926</v>
      </c>
      <c r="C269" s="1" t="n">
        <v>46003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59175-2024</t>
        </is>
      </c>
      <c r="B270" s="1" t="n">
        <v>45637.50040509259</v>
      </c>
      <c r="C270" s="1" t="n">
        <v>46003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59182-2024</t>
        </is>
      </c>
      <c r="B271" s="1" t="n">
        <v>45637.52162037037</v>
      </c>
      <c r="C271" s="1" t="n">
        <v>46003</v>
      </c>
      <c r="D271" t="inlineStr">
        <is>
          <t>VÄSTRA GÖTALANDS LÄN</t>
        </is>
      </c>
      <c r="E271" t="inlineStr">
        <is>
          <t>MARK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11175-2025</t>
        </is>
      </c>
      <c r="B272" s="1" t="n">
        <v>45724.62498842592</v>
      </c>
      <c r="C272" s="1" t="n">
        <v>46003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7498-2023</t>
        </is>
      </c>
      <c r="B273" s="1" t="n">
        <v>44971.7277662037</v>
      </c>
      <c r="C273" s="1" t="n">
        <v>46003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11653-2023</t>
        </is>
      </c>
      <c r="B274" s="1" t="n">
        <v>44994.45799768518</v>
      </c>
      <c r="C274" s="1" t="n">
        <v>46003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18999-2025</t>
        </is>
      </c>
      <c r="B275" s="1" t="n">
        <v>45764.57859953704</v>
      </c>
      <c r="C275" s="1" t="n">
        <v>46003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22918-2022</t>
        </is>
      </c>
      <c r="B276" s="1" t="n">
        <v>44715</v>
      </c>
      <c r="C276" s="1" t="n">
        <v>46003</v>
      </c>
      <c r="D276" t="inlineStr">
        <is>
          <t>VÄSTRA GÖTALANDS LÄN</t>
        </is>
      </c>
      <c r="E276" t="inlineStr">
        <is>
          <t>MARK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49725-2024</t>
        </is>
      </c>
      <c r="B277" s="1" t="n">
        <v>45596.74619212963</v>
      </c>
      <c r="C277" s="1" t="n">
        <v>46003</v>
      </c>
      <c r="D277" t="inlineStr">
        <is>
          <t>VÄSTRA GÖTALANDS LÄN</t>
        </is>
      </c>
      <c r="E277" t="inlineStr">
        <is>
          <t>MARK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16615-2023</t>
        </is>
      </c>
      <c r="B278" s="1" t="n">
        <v>45030</v>
      </c>
      <c r="C278" s="1" t="n">
        <v>46003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63590-2023</t>
        </is>
      </c>
      <c r="B279" s="1" t="n">
        <v>45275</v>
      </c>
      <c r="C279" s="1" t="n">
        <v>46003</v>
      </c>
      <c r="D279" t="inlineStr">
        <is>
          <t>VÄSTRA GÖTALANDS LÄN</t>
        </is>
      </c>
      <c r="E279" t="inlineStr">
        <is>
          <t>MARK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63591-2023</t>
        </is>
      </c>
      <c r="B280" s="1" t="n">
        <v>45275</v>
      </c>
      <c r="C280" s="1" t="n">
        <v>46003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4098-2025</t>
        </is>
      </c>
      <c r="B281" s="1" t="n">
        <v>45684.68071759259</v>
      </c>
      <c r="C281" s="1" t="n">
        <v>46003</v>
      </c>
      <c r="D281" t="inlineStr">
        <is>
          <t>VÄSTRA GÖTALANDS LÄN</t>
        </is>
      </c>
      <c r="E281" t="inlineStr">
        <is>
          <t>MARK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57891-2024</t>
        </is>
      </c>
      <c r="B282" s="1" t="n">
        <v>45631.46885416667</v>
      </c>
      <c r="C282" s="1" t="n">
        <v>46003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57414-2024</t>
        </is>
      </c>
      <c r="B283" s="1" t="n">
        <v>45629.76608796296</v>
      </c>
      <c r="C283" s="1" t="n">
        <v>46003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23326-2022</t>
        </is>
      </c>
      <c r="B284" s="1" t="n">
        <v>44720.50216435185</v>
      </c>
      <c r="C284" s="1" t="n">
        <v>46003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3657-2025</t>
        </is>
      </c>
      <c r="B285" s="1" t="n">
        <v>45681.41366898148</v>
      </c>
      <c r="C285" s="1" t="n">
        <v>46003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18280-2024</t>
        </is>
      </c>
      <c r="B286" s="1" t="n">
        <v>45422.32804398148</v>
      </c>
      <c r="C286" s="1" t="n">
        <v>46003</v>
      </c>
      <c r="D286" t="inlineStr">
        <is>
          <t>VÄSTRA GÖTALANDS LÄN</t>
        </is>
      </c>
      <c r="E286" t="inlineStr">
        <is>
          <t>MARK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19514-2025</t>
        </is>
      </c>
      <c r="B287" s="1" t="n">
        <v>45770.4296875</v>
      </c>
      <c r="C287" s="1" t="n">
        <v>46003</v>
      </c>
      <c r="D287" t="inlineStr">
        <is>
          <t>VÄSTRA GÖTALANDS LÄN</t>
        </is>
      </c>
      <c r="E287" t="inlineStr">
        <is>
          <t>MARK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8855-2023</t>
        </is>
      </c>
      <c r="B288" s="1" t="n">
        <v>44978.88230324074</v>
      </c>
      <c r="C288" s="1" t="n">
        <v>46003</v>
      </c>
      <c r="D288" t="inlineStr">
        <is>
          <t>VÄSTRA GÖTALANDS LÄN</t>
        </is>
      </c>
      <c r="E288" t="inlineStr">
        <is>
          <t>MARK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28285-2023</t>
        </is>
      </c>
      <c r="B289" s="1" t="n">
        <v>45099.63011574074</v>
      </c>
      <c r="C289" s="1" t="n">
        <v>46003</v>
      </c>
      <c r="D289" t="inlineStr">
        <is>
          <t>VÄSTRA GÖTALANDS LÄN</t>
        </is>
      </c>
      <c r="E289" t="inlineStr">
        <is>
          <t>MARK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2446-2022</t>
        </is>
      </c>
      <c r="B290" s="1" t="n">
        <v>44579.571875</v>
      </c>
      <c r="C290" s="1" t="n">
        <v>46003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Kommuner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19709-2022</t>
        </is>
      </c>
      <c r="B291" s="1" t="n">
        <v>44694.54123842593</v>
      </c>
      <c r="C291" s="1" t="n">
        <v>46003</v>
      </c>
      <c r="D291" t="inlineStr">
        <is>
          <t>VÄSTRA GÖTALANDS LÄN</t>
        </is>
      </c>
      <c r="E291" t="inlineStr">
        <is>
          <t>MARK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1322-2023</t>
        </is>
      </c>
      <c r="B292" s="1" t="n">
        <v>44936.55232638889</v>
      </c>
      <c r="C292" s="1" t="n">
        <v>46003</v>
      </c>
      <c r="D292" t="inlineStr">
        <is>
          <t>VÄSTRA GÖTALANDS LÄN</t>
        </is>
      </c>
      <c r="E292" t="inlineStr">
        <is>
          <t>MARK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27471-2024</t>
        </is>
      </c>
      <c r="B293" s="1" t="n">
        <v>45474.46443287037</v>
      </c>
      <c r="C293" s="1" t="n">
        <v>46003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Kommuner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16716-2023</t>
        </is>
      </c>
      <c r="B294" s="1" t="n">
        <v>45030</v>
      </c>
      <c r="C294" s="1" t="n">
        <v>46003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34073-2024</t>
        </is>
      </c>
      <c r="B295" s="1" t="n">
        <v>45523.63995370371</v>
      </c>
      <c r="C295" s="1" t="n">
        <v>46003</v>
      </c>
      <c r="D295" t="inlineStr">
        <is>
          <t>VÄSTRA GÖTALANDS LÄN</t>
        </is>
      </c>
      <c r="E295" t="inlineStr">
        <is>
          <t>MARK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30577-2022</t>
        </is>
      </c>
      <c r="B296" s="1" t="n">
        <v>44762.62707175926</v>
      </c>
      <c r="C296" s="1" t="n">
        <v>46003</v>
      </c>
      <c r="D296" t="inlineStr">
        <is>
          <t>VÄSTRA GÖTALANDS LÄN</t>
        </is>
      </c>
      <c r="E296" t="inlineStr">
        <is>
          <t>MARK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52673-2023</t>
        </is>
      </c>
      <c r="B297" s="1" t="n">
        <v>45219</v>
      </c>
      <c r="C297" s="1" t="n">
        <v>46003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57399-2022</t>
        </is>
      </c>
      <c r="B298" s="1" t="n">
        <v>44896</v>
      </c>
      <c r="C298" s="1" t="n">
        <v>46003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34653-2023</t>
        </is>
      </c>
      <c r="B299" s="1" t="n">
        <v>45140</v>
      </c>
      <c r="C299" s="1" t="n">
        <v>46003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37737-2022</t>
        </is>
      </c>
      <c r="B300" s="1" t="n">
        <v>44810</v>
      </c>
      <c r="C300" s="1" t="n">
        <v>46003</v>
      </c>
      <c r="D300" t="inlineStr">
        <is>
          <t>VÄSTRA GÖTALANDS LÄN</t>
        </is>
      </c>
      <c r="E300" t="inlineStr">
        <is>
          <t>MARK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43402-2023</t>
        </is>
      </c>
      <c r="B301" s="1" t="n">
        <v>45183</v>
      </c>
      <c r="C301" s="1" t="n">
        <v>46003</v>
      </c>
      <c r="D301" t="inlineStr">
        <is>
          <t>VÄSTRA GÖTALANDS LÄN</t>
        </is>
      </c>
      <c r="E301" t="inlineStr">
        <is>
          <t>MARK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44531.43556712963</v>
      </c>
      <c r="C302" s="1" t="n">
        <v>46003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33189-2024</t>
        </is>
      </c>
      <c r="B303" s="1" t="n">
        <v>45518.46695601852</v>
      </c>
      <c r="C303" s="1" t="n">
        <v>46003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37095-2022</t>
        </is>
      </c>
      <c r="B304" s="1" t="n">
        <v>44806.50550925926</v>
      </c>
      <c r="C304" s="1" t="n">
        <v>46003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34159-2023</t>
        </is>
      </c>
      <c r="B305" s="1" t="n">
        <v>45137</v>
      </c>
      <c r="C305" s="1" t="n">
        <v>46003</v>
      </c>
      <c r="D305" t="inlineStr">
        <is>
          <t>VÄSTRA GÖTALANDS LÄN</t>
        </is>
      </c>
      <c r="E305" t="inlineStr">
        <is>
          <t>MARK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7053-2025</t>
        </is>
      </c>
      <c r="B306" s="1" t="n">
        <v>45701.64710648148</v>
      </c>
      <c r="C306" s="1" t="n">
        <v>46003</v>
      </c>
      <c r="D306" t="inlineStr">
        <is>
          <t>VÄSTRA GÖTALANDS LÄN</t>
        </is>
      </c>
      <c r="E306" t="inlineStr">
        <is>
          <t>MARK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6644-2021</t>
        </is>
      </c>
      <c r="B307" s="1" t="n">
        <v>44236</v>
      </c>
      <c r="C307" s="1" t="n">
        <v>46003</v>
      </c>
      <c r="D307" t="inlineStr">
        <is>
          <t>VÄSTRA GÖTALANDS LÄN</t>
        </is>
      </c>
      <c r="E307" t="inlineStr">
        <is>
          <t>MARK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26075-2023</t>
        </is>
      </c>
      <c r="B308" s="1" t="n">
        <v>45091</v>
      </c>
      <c r="C308" s="1" t="n">
        <v>46003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28084-2024</t>
        </is>
      </c>
      <c r="B309" s="1" t="n">
        <v>45476.5928587963</v>
      </c>
      <c r="C309" s="1" t="n">
        <v>46003</v>
      </c>
      <c r="D309" t="inlineStr">
        <is>
          <t>VÄSTRA GÖTALANDS LÄN</t>
        </is>
      </c>
      <c r="E309" t="inlineStr">
        <is>
          <t>MARK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15788-2023</t>
        </is>
      </c>
      <c r="B310" s="1" t="n">
        <v>45021.6837037037</v>
      </c>
      <c r="C310" s="1" t="n">
        <v>46003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28257-2024</t>
        </is>
      </c>
      <c r="B311" s="1" t="n">
        <v>45477.42391203704</v>
      </c>
      <c r="C311" s="1" t="n">
        <v>46003</v>
      </c>
      <c r="D311" t="inlineStr">
        <is>
          <t>VÄSTRA GÖTALANDS LÄN</t>
        </is>
      </c>
      <c r="E311" t="inlineStr">
        <is>
          <t>MARK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47148-2023</t>
        </is>
      </c>
      <c r="B312" s="1" t="n">
        <v>45201</v>
      </c>
      <c r="C312" s="1" t="n">
        <v>46003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9496-2024</t>
        </is>
      </c>
      <c r="B313" s="1" t="n">
        <v>45359.59423611111</v>
      </c>
      <c r="C313" s="1" t="n">
        <v>46003</v>
      </c>
      <c r="D313" t="inlineStr">
        <is>
          <t>VÄSTRA GÖTALANDS LÄN</t>
        </is>
      </c>
      <c r="E313" t="inlineStr">
        <is>
          <t>MARK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59156-2023</t>
        </is>
      </c>
      <c r="B314" s="1" t="n">
        <v>45251</v>
      </c>
      <c r="C314" s="1" t="n">
        <v>46003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20539-2025</t>
        </is>
      </c>
      <c r="B315" s="1" t="n">
        <v>45775.62319444444</v>
      </c>
      <c r="C315" s="1" t="n">
        <v>46003</v>
      </c>
      <c r="D315" t="inlineStr">
        <is>
          <t>VÄSTRA GÖTALANDS LÄN</t>
        </is>
      </c>
      <c r="E315" t="inlineStr">
        <is>
          <t>MARK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9558-2023</t>
        </is>
      </c>
      <c r="B316" s="1" t="n">
        <v>44982.324375</v>
      </c>
      <c r="C316" s="1" t="n">
        <v>46003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30753-2022</t>
        </is>
      </c>
      <c r="B317" s="1" t="n">
        <v>44764.50056712963</v>
      </c>
      <c r="C317" s="1" t="n">
        <v>46003</v>
      </c>
      <c r="D317" t="inlineStr">
        <is>
          <t>VÄSTRA GÖTALANDS LÄN</t>
        </is>
      </c>
      <c r="E317" t="inlineStr">
        <is>
          <t>MARK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26529-2023</t>
        </is>
      </c>
      <c r="B318" s="1" t="n">
        <v>45092.57231481482</v>
      </c>
      <c r="C318" s="1" t="n">
        <v>46003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59161-2024</t>
        </is>
      </c>
      <c r="B319" s="1" t="n">
        <v>45637.47238425926</v>
      </c>
      <c r="C319" s="1" t="n">
        <v>46003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23634-2023</t>
        </is>
      </c>
      <c r="B320" s="1" t="n">
        <v>45077.50708333333</v>
      </c>
      <c r="C320" s="1" t="n">
        <v>46003</v>
      </c>
      <c r="D320" t="inlineStr">
        <is>
          <t>VÄSTRA GÖTALANDS LÄN</t>
        </is>
      </c>
      <c r="E320" t="inlineStr">
        <is>
          <t>MARK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12330-2024</t>
        </is>
      </c>
      <c r="B321" s="1" t="n">
        <v>45378.67270833333</v>
      </c>
      <c r="C321" s="1" t="n">
        <v>46003</v>
      </c>
      <c r="D321" t="inlineStr">
        <is>
          <t>VÄSTRA GÖTALANDS LÄN</t>
        </is>
      </c>
      <c r="E321" t="inlineStr">
        <is>
          <t>MARK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7050-2022</t>
        </is>
      </c>
      <c r="B322" s="1" t="n">
        <v>44603</v>
      </c>
      <c r="C322" s="1" t="n">
        <v>46003</v>
      </c>
      <c r="D322" t="inlineStr">
        <is>
          <t>VÄSTRA GÖTALANDS LÄN</t>
        </is>
      </c>
      <c r="E322" t="inlineStr">
        <is>
          <t>MARK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17583-2025</t>
        </is>
      </c>
      <c r="B323" s="1" t="n">
        <v>45757.66560185186</v>
      </c>
      <c r="C323" s="1" t="n">
        <v>46003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62573-2022</t>
        </is>
      </c>
      <c r="B324" s="1" t="n">
        <v>44924.82454861111</v>
      </c>
      <c r="C324" s="1" t="n">
        <v>46003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10138-2025</t>
        </is>
      </c>
      <c r="B325" s="1" t="n">
        <v>45719.62782407407</v>
      </c>
      <c r="C325" s="1" t="n">
        <v>46003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8609-2025</t>
        </is>
      </c>
      <c r="B326" s="1" t="n">
        <v>45710.495</v>
      </c>
      <c r="C326" s="1" t="n">
        <v>46003</v>
      </c>
      <c r="D326" t="inlineStr">
        <is>
          <t>VÄSTRA GÖTALANDS LÄN</t>
        </is>
      </c>
      <c r="E326" t="inlineStr">
        <is>
          <t>MARK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604-2024</t>
        </is>
      </c>
      <c r="B327" s="1" t="n">
        <v>45299</v>
      </c>
      <c r="C327" s="1" t="n">
        <v>46003</v>
      </c>
      <c r="D327" t="inlineStr">
        <is>
          <t>VÄSTRA GÖTALANDS LÄN</t>
        </is>
      </c>
      <c r="E327" t="inlineStr">
        <is>
          <t>MARK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5466-2024</t>
        </is>
      </c>
      <c r="B328" s="1" t="n">
        <v>45332</v>
      </c>
      <c r="C328" s="1" t="n">
        <v>46003</v>
      </c>
      <c r="D328" t="inlineStr">
        <is>
          <t>VÄSTRA GÖTALANDS LÄN</t>
        </is>
      </c>
      <c r="E328" t="inlineStr">
        <is>
          <t>MARK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7019-2024</t>
        </is>
      </c>
      <c r="B329" s="1" t="n">
        <v>45343</v>
      </c>
      <c r="C329" s="1" t="n">
        <v>46003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7720-2024</t>
        </is>
      </c>
      <c r="B330" s="1" t="n">
        <v>45349</v>
      </c>
      <c r="C330" s="1" t="n">
        <v>46003</v>
      </c>
      <c r="D330" t="inlineStr">
        <is>
          <t>VÄSTRA GÖTALANDS LÄN</t>
        </is>
      </c>
      <c r="E330" t="inlineStr">
        <is>
          <t>MARK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30275-2024</t>
        </is>
      </c>
      <c r="B331" s="1" t="n">
        <v>45490</v>
      </c>
      <c r="C331" s="1" t="n">
        <v>46003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9251-2024</t>
        </is>
      </c>
      <c r="B332" s="1" t="n">
        <v>45358.59503472222</v>
      </c>
      <c r="C332" s="1" t="n">
        <v>46003</v>
      </c>
      <c r="D332" t="inlineStr">
        <is>
          <t>VÄSTRA GÖTALANDS LÄN</t>
        </is>
      </c>
      <c r="E332" t="inlineStr">
        <is>
          <t>MARK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59662-2022</t>
        </is>
      </c>
      <c r="B333" s="1" t="n">
        <v>44908</v>
      </c>
      <c r="C333" s="1" t="n">
        <v>46003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57896-2024</t>
        </is>
      </c>
      <c r="B334" s="1" t="n">
        <v>45631.47197916666</v>
      </c>
      <c r="C334" s="1" t="n">
        <v>46003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57168-2024</t>
        </is>
      </c>
      <c r="B335" s="1" t="n">
        <v>45629.4267824074</v>
      </c>
      <c r="C335" s="1" t="n">
        <v>46003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11518-2024</t>
        </is>
      </c>
      <c r="B336" s="1" t="n">
        <v>45373</v>
      </c>
      <c r="C336" s="1" t="n">
        <v>46003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47541-2024</t>
        </is>
      </c>
      <c r="B337" s="1" t="n">
        <v>45587.65398148148</v>
      </c>
      <c r="C337" s="1" t="n">
        <v>46003</v>
      </c>
      <c r="D337" t="inlineStr">
        <is>
          <t>VÄSTRA GÖTALANDS LÄN</t>
        </is>
      </c>
      <c r="E337" t="inlineStr">
        <is>
          <t>MARK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30272-2024</t>
        </is>
      </c>
      <c r="B338" s="1" t="n">
        <v>45490</v>
      </c>
      <c r="C338" s="1" t="n">
        <v>46003</v>
      </c>
      <c r="D338" t="inlineStr">
        <is>
          <t>VÄSTRA GÖTALANDS LÄN</t>
        </is>
      </c>
      <c r="E338" t="inlineStr">
        <is>
          <t>MARK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30277-2024</t>
        </is>
      </c>
      <c r="B339" s="1" t="n">
        <v>45490</v>
      </c>
      <c r="C339" s="1" t="n">
        <v>46003</v>
      </c>
      <c r="D339" t="inlineStr">
        <is>
          <t>VÄSTRA GÖTALANDS LÄN</t>
        </is>
      </c>
      <c r="E339" t="inlineStr">
        <is>
          <t>MARK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14625-2025</t>
        </is>
      </c>
      <c r="B340" s="1" t="n">
        <v>45742.42097222222</v>
      </c>
      <c r="C340" s="1" t="n">
        <v>46003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17822-2025</t>
        </is>
      </c>
      <c r="B341" s="1" t="n">
        <v>45758.57092592592</v>
      </c>
      <c r="C341" s="1" t="n">
        <v>46003</v>
      </c>
      <c r="D341" t="inlineStr">
        <is>
          <t>VÄSTRA GÖTALANDS LÄN</t>
        </is>
      </c>
      <c r="E341" t="inlineStr">
        <is>
          <t>MARK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1313-2025</t>
        </is>
      </c>
      <c r="B342" s="1" t="n">
        <v>45667</v>
      </c>
      <c r="C342" s="1" t="n">
        <v>46003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963-2024</t>
        </is>
      </c>
      <c r="B343" s="1" t="n">
        <v>45301</v>
      </c>
      <c r="C343" s="1" t="n">
        <v>46003</v>
      </c>
      <c r="D343" t="inlineStr">
        <is>
          <t>VÄSTRA GÖTALANDS LÄN</t>
        </is>
      </c>
      <c r="E343" t="inlineStr">
        <is>
          <t>MARK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1814-2022</t>
        </is>
      </c>
      <c r="B344" s="1" t="n">
        <v>44574</v>
      </c>
      <c r="C344" s="1" t="n">
        <v>46003</v>
      </c>
      <c r="D344" t="inlineStr">
        <is>
          <t>VÄSTRA GÖTALANDS LÄN</t>
        </is>
      </c>
      <c r="E344" t="inlineStr">
        <is>
          <t>MARK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30491-2021</t>
        </is>
      </c>
      <c r="B345" s="1" t="n">
        <v>44364.62407407408</v>
      </c>
      <c r="C345" s="1" t="n">
        <v>46003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20613-2025</t>
        </is>
      </c>
      <c r="B346" s="1" t="n">
        <v>45776.07998842592</v>
      </c>
      <c r="C346" s="1" t="n">
        <v>46003</v>
      </c>
      <c r="D346" t="inlineStr">
        <is>
          <t>VÄSTRA GÖTALANDS LÄN</t>
        </is>
      </c>
      <c r="E346" t="inlineStr">
        <is>
          <t>MARK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9446-2024</t>
        </is>
      </c>
      <c r="B347" s="1" t="n">
        <v>45359.51115740741</v>
      </c>
      <c r="C347" s="1" t="n">
        <v>46003</v>
      </c>
      <c r="D347" t="inlineStr">
        <is>
          <t>VÄSTRA GÖTALANDS LÄN</t>
        </is>
      </c>
      <c r="E347" t="inlineStr">
        <is>
          <t>MARK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34152-2021</t>
        </is>
      </c>
      <c r="B348" s="1" t="n">
        <v>44379</v>
      </c>
      <c r="C348" s="1" t="n">
        <v>46003</v>
      </c>
      <c r="D348" t="inlineStr">
        <is>
          <t>VÄSTRA GÖTALANDS LÄN</t>
        </is>
      </c>
      <c r="E348" t="inlineStr">
        <is>
          <t>MARK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1176-2023</t>
        </is>
      </c>
      <c r="B349" s="1" t="n">
        <v>44935</v>
      </c>
      <c r="C349" s="1" t="n">
        <v>46003</v>
      </c>
      <c r="D349" t="inlineStr">
        <is>
          <t>VÄSTRA GÖTALANDS LÄN</t>
        </is>
      </c>
      <c r="E349" t="inlineStr">
        <is>
          <t>MARK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17014-2025</t>
        </is>
      </c>
      <c r="B350" s="1" t="n">
        <v>45755.55113425926</v>
      </c>
      <c r="C350" s="1" t="n">
        <v>46003</v>
      </c>
      <c r="D350" t="inlineStr">
        <is>
          <t>VÄSTRA GÖTALANDS LÄN</t>
        </is>
      </c>
      <c r="E350" t="inlineStr">
        <is>
          <t>MARK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16147-2025</t>
        </is>
      </c>
      <c r="B351" s="1" t="n">
        <v>45750.46237268519</v>
      </c>
      <c r="C351" s="1" t="n">
        <v>46003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16159-2025</t>
        </is>
      </c>
      <c r="B352" s="1" t="n">
        <v>45750.49517361111</v>
      </c>
      <c r="C352" s="1" t="n">
        <v>46003</v>
      </c>
      <c r="D352" t="inlineStr">
        <is>
          <t>VÄSTRA GÖTALANDS LÄN</t>
        </is>
      </c>
      <c r="E352" t="inlineStr">
        <is>
          <t>MARK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55689-2022</t>
        </is>
      </c>
      <c r="B353" s="1" t="n">
        <v>44888.51767361111</v>
      </c>
      <c r="C353" s="1" t="n">
        <v>46003</v>
      </c>
      <c r="D353" t="inlineStr">
        <is>
          <t>VÄSTRA GÖTALANDS LÄN</t>
        </is>
      </c>
      <c r="E353" t="inlineStr">
        <is>
          <t>MARK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12429-2024</t>
        </is>
      </c>
      <c r="B354" s="1" t="n">
        <v>45379.43885416666</v>
      </c>
      <c r="C354" s="1" t="n">
        <v>46003</v>
      </c>
      <c r="D354" t="inlineStr">
        <is>
          <t>VÄSTRA GÖTALANDS LÄN</t>
        </is>
      </c>
      <c r="E354" t="inlineStr">
        <is>
          <t>MARK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12422-2024</t>
        </is>
      </c>
      <c r="B355" s="1" t="n">
        <v>45379.43107638889</v>
      </c>
      <c r="C355" s="1" t="n">
        <v>46003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58599-2022</t>
        </is>
      </c>
      <c r="B356" s="1" t="n">
        <v>44902.55736111111</v>
      </c>
      <c r="C356" s="1" t="n">
        <v>46003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18701-2025</t>
        </is>
      </c>
      <c r="B357" s="1" t="n">
        <v>45763.63100694444</v>
      </c>
      <c r="C357" s="1" t="n">
        <v>46003</v>
      </c>
      <c r="D357" t="inlineStr">
        <is>
          <t>VÄSTRA GÖTALANDS LÄN</t>
        </is>
      </c>
      <c r="E357" t="inlineStr">
        <is>
          <t>MARK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16154-2025</t>
        </is>
      </c>
      <c r="B358" s="1" t="n">
        <v>45750.48502314815</v>
      </c>
      <c r="C358" s="1" t="n">
        <v>46003</v>
      </c>
      <c r="D358" t="inlineStr">
        <is>
          <t>VÄSTRA GÖTALANDS LÄN</t>
        </is>
      </c>
      <c r="E358" t="inlineStr">
        <is>
          <t>MARK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61247-2023</t>
        </is>
      </c>
      <c r="B359" s="1" t="n">
        <v>45264.46984953704</v>
      </c>
      <c r="C359" s="1" t="n">
        <v>46003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61250-2023</t>
        </is>
      </c>
      <c r="B360" s="1" t="n">
        <v>45264.47670138889</v>
      </c>
      <c r="C360" s="1" t="n">
        <v>46003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57523-2022</t>
        </is>
      </c>
      <c r="B361" s="1" t="n">
        <v>44896</v>
      </c>
      <c r="C361" s="1" t="n">
        <v>46003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43750-2024</t>
        </is>
      </c>
      <c r="B362" s="1" t="n">
        <v>45569.67313657407</v>
      </c>
      <c r="C362" s="1" t="n">
        <v>46003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42822-2021</t>
        </is>
      </c>
      <c r="B363" s="1" t="n">
        <v>44430</v>
      </c>
      <c r="C363" s="1" t="n">
        <v>46003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12313-2024</t>
        </is>
      </c>
      <c r="B364" s="1" t="n">
        <v>45378.64171296296</v>
      </c>
      <c r="C364" s="1" t="n">
        <v>46003</v>
      </c>
      <c r="D364" t="inlineStr">
        <is>
          <t>VÄSTRA GÖTALANDS LÄN</t>
        </is>
      </c>
      <c r="E364" t="inlineStr">
        <is>
          <t>MARK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10902-2024</t>
        </is>
      </c>
      <c r="B365" s="1" t="n">
        <v>45370.37342592593</v>
      </c>
      <c r="C365" s="1" t="n">
        <v>46003</v>
      </c>
      <c r="D365" t="inlineStr">
        <is>
          <t>VÄSTRA GÖTALANDS LÄN</t>
        </is>
      </c>
      <c r="E365" t="inlineStr">
        <is>
          <t>MARK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3653-2023</t>
        </is>
      </c>
      <c r="B366" s="1" t="n">
        <v>44950</v>
      </c>
      <c r="C366" s="1" t="n">
        <v>46003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3655-2023</t>
        </is>
      </c>
      <c r="B367" s="1" t="n">
        <v>44950</v>
      </c>
      <c r="C367" s="1" t="n">
        <v>46003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61010-2023</t>
        </is>
      </c>
      <c r="B368" s="1" t="n">
        <v>45261.53189814815</v>
      </c>
      <c r="C368" s="1" t="n">
        <v>46003</v>
      </c>
      <c r="D368" t="inlineStr">
        <is>
          <t>VÄSTRA GÖTALANDS LÄN</t>
        </is>
      </c>
      <c r="E368" t="inlineStr">
        <is>
          <t>MARK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15864-2023</t>
        </is>
      </c>
      <c r="B369" s="1" t="n">
        <v>45022.38005787037</v>
      </c>
      <c r="C369" s="1" t="n">
        <v>46003</v>
      </c>
      <c r="D369" t="inlineStr">
        <is>
          <t>VÄSTRA GÖTALANDS LÄN</t>
        </is>
      </c>
      <c r="E369" t="inlineStr">
        <is>
          <t>MARK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29665-2023</t>
        </is>
      </c>
      <c r="B370" s="1" t="n">
        <v>45107.32079861111</v>
      </c>
      <c r="C370" s="1" t="n">
        <v>46003</v>
      </c>
      <c r="D370" t="inlineStr">
        <is>
          <t>VÄSTRA GÖTALANDS LÄN</t>
        </is>
      </c>
      <c r="E370" t="inlineStr">
        <is>
          <t>MARK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42542-2024</t>
        </is>
      </c>
      <c r="B371" s="1" t="n">
        <v>45565.58900462963</v>
      </c>
      <c r="C371" s="1" t="n">
        <v>46003</v>
      </c>
      <c r="D371" t="inlineStr">
        <is>
          <t>VÄSTRA GÖTALANDS LÄN</t>
        </is>
      </c>
      <c r="E371" t="inlineStr">
        <is>
          <t>MARK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20664-2025</t>
        </is>
      </c>
      <c r="B372" s="1" t="n">
        <v>45776.41950231481</v>
      </c>
      <c r="C372" s="1" t="n">
        <v>46003</v>
      </c>
      <c r="D372" t="inlineStr">
        <is>
          <t>VÄSTRA GÖTALANDS LÄN</t>
        </is>
      </c>
      <c r="E372" t="inlineStr">
        <is>
          <t>MARK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40858-2021</t>
        </is>
      </c>
      <c r="B373" s="1" t="n">
        <v>44421.43811342592</v>
      </c>
      <c r="C373" s="1" t="n">
        <v>46003</v>
      </c>
      <c r="D373" t="inlineStr">
        <is>
          <t>VÄSTRA GÖTALANDS LÄN</t>
        </is>
      </c>
      <c r="E373" t="inlineStr">
        <is>
          <t>MARK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8812-2024</t>
        </is>
      </c>
      <c r="B374" s="1" t="n">
        <v>45356.65800925926</v>
      </c>
      <c r="C374" s="1" t="n">
        <v>46003</v>
      </c>
      <c r="D374" t="inlineStr">
        <is>
          <t>VÄSTRA GÖTALANDS LÄN</t>
        </is>
      </c>
      <c r="E374" t="inlineStr">
        <is>
          <t>MARK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16541-2025</t>
        </is>
      </c>
      <c r="B375" s="1" t="n">
        <v>45751.66748842593</v>
      </c>
      <c r="C375" s="1" t="n">
        <v>46003</v>
      </c>
      <c r="D375" t="inlineStr">
        <is>
          <t>VÄSTRA GÖTALANDS LÄN</t>
        </is>
      </c>
      <c r="E375" t="inlineStr">
        <is>
          <t>MARK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17003-2025</t>
        </is>
      </c>
      <c r="B376" s="1" t="n">
        <v>45755.53173611111</v>
      </c>
      <c r="C376" s="1" t="n">
        <v>46003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17006-2025</t>
        </is>
      </c>
      <c r="B377" s="1" t="n">
        <v>45755.53457175926</v>
      </c>
      <c r="C377" s="1" t="n">
        <v>46003</v>
      </c>
      <c r="D377" t="inlineStr">
        <is>
          <t>VÄSTRA GÖTALANDS LÄN</t>
        </is>
      </c>
      <c r="E377" t="inlineStr">
        <is>
          <t>MARK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10469-2023</t>
        </is>
      </c>
      <c r="B378" s="1" t="n">
        <v>44987</v>
      </c>
      <c r="C378" s="1" t="n">
        <v>46003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36979-2021</t>
        </is>
      </c>
      <c r="B379" s="1" t="n">
        <v>44393.58640046296</v>
      </c>
      <c r="C379" s="1" t="n">
        <v>46003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1643-2024</t>
        </is>
      </c>
      <c r="B380" s="1" t="n">
        <v>45306.68015046296</v>
      </c>
      <c r="C380" s="1" t="n">
        <v>46003</v>
      </c>
      <c r="D380" t="inlineStr">
        <is>
          <t>VÄSTRA GÖTALANDS LÄN</t>
        </is>
      </c>
      <c r="E380" t="inlineStr">
        <is>
          <t>MARK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64731-2023</t>
        </is>
      </c>
      <c r="B381" s="1" t="n">
        <v>45281</v>
      </c>
      <c r="C381" s="1" t="n">
        <v>46003</v>
      </c>
      <c r="D381" t="inlineStr">
        <is>
          <t>VÄSTRA GÖTALANDS LÄN</t>
        </is>
      </c>
      <c r="E381" t="inlineStr">
        <is>
          <t>MARK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61417-2023</t>
        </is>
      </c>
      <c r="B382" s="1" t="n">
        <v>45264.67543981481</v>
      </c>
      <c r="C382" s="1" t="n">
        <v>46003</v>
      </c>
      <c r="D382" t="inlineStr">
        <is>
          <t>VÄSTRA GÖTALANDS LÄN</t>
        </is>
      </c>
      <c r="E382" t="inlineStr">
        <is>
          <t>MARK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27691-2024</t>
        </is>
      </c>
      <c r="B383" s="1" t="n">
        <v>45475.34384259259</v>
      </c>
      <c r="C383" s="1" t="n">
        <v>46003</v>
      </c>
      <c r="D383" t="inlineStr">
        <is>
          <t>VÄSTRA GÖTALANDS LÄN</t>
        </is>
      </c>
      <c r="E383" t="inlineStr">
        <is>
          <t>MARK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58497-2023</t>
        </is>
      </c>
      <c r="B384" s="1" t="n">
        <v>45251</v>
      </c>
      <c r="C384" s="1" t="n">
        <v>46003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61379-2023</t>
        </is>
      </c>
      <c r="B385" s="1" t="n">
        <v>45264.63784722222</v>
      </c>
      <c r="C385" s="1" t="n">
        <v>46003</v>
      </c>
      <c r="D385" t="inlineStr">
        <is>
          <t>VÄSTRA GÖTALANDS LÄN</t>
        </is>
      </c>
      <c r="E385" t="inlineStr">
        <is>
          <t>MARK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4011-2025</t>
        </is>
      </c>
      <c r="B386" s="1" t="n">
        <v>45684.57792824074</v>
      </c>
      <c r="C386" s="1" t="n">
        <v>46003</v>
      </c>
      <c r="D386" t="inlineStr">
        <is>
          <t>VÄSTRA GÖTALANDS LÄN</t>
        </is>
      </c>
      <c r="E386" t="inlineStr">
        <is>
          <t>MARK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35431-2022</t>
        </is>
      </c>
      <c r="B387" s="1" t="n">
        <v>44798</v>
      </c>
      <c r="C387" s="1" t="n">
        <v>46003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16987-2025</t>
        </is>
      </c>
      <c r="B388" s="1" t="n">
        <v>45755.48946759259</v>
      </c>
      <c r="C388" s="1" t="n">
        <v>46003</v>
      </c>
      <c r="D388" t="inlineStr">
        <is>
          <t>VÄSTRA GÖTALANDS LÄN</t>
        </is>
      </c>
      <c r="E388" t="inlineStr">
        <is>
          <t>MARK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6980-2024</t>
        </is>
      </c>
      <c r="B389" s="1" t="n">
        <v>45343.48173611111</v>
      </c>
      <c r="C389" s="1" t="n">
        <v>46003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17012-2025</t>
        </is>
      </c>
      <c r="B390" s="1" t="n">
        <v>45755.54912037037</v>
      </c>
      <c r="C390" s="1" t="n">
        <v>46003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14749-2024</t>
        </is>
      </c>
      <c r="B391" s="1" t="n">
        <v>45397.64184027778</v>
      </c>
      <c r="C391" s="1" t="n">
        <v>46003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9174-2025</t>
        </is>
      </c>
      <c r="B392" s="1" t="n">
        <v>45714.41085648148</v>
      </c>
      <c r="C392" s="1" t="n">
        <v>46003</v>
      </c>
      <c r="D392" t="inlineStr">
        <is>
          <t>VÄSTRA GÖTALANDS LÄN</t>
        </is>
      </c>
      <c r="E392" t="inlineStr">
        <is>
          <t>MARK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826-2023</t>
        </is>
      </c>
      <c r="B393" s="1" t="n">
        <v>44928</v>
      </c>
      <c r="C393" s="1" t="n">
        <v>46003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38691-2025</t>
        </is>
      </c>
      <c r="B394" s="1" t="n">
        <v>45884.67460648148</v>
      </c>
      <c r="C394" s="1" t="n">
        <v>46003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54549-2021</t>
        </is>
      </c>
      <c r="B395" s="1" t="n">
        <v>44473.558125</v>
      </c>
      <c r="C395" s="1" t="n">
        <v>46003</v>
      </c>
      <c r="D395" t="inlineStr">
        <is>
          <t>VÄSTRA GÖTALANDS LÄN</t>
        </is>
      </c>
      <c r="E395" t="inlineStr">
        <is>
          <t>MARK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59605-2023</t>
        </is>
      </c>
      <c r="B396" s="1" t="n">
        <v>45254.63135416667</v>
      </c>
      <c r="C396" s="1" t="n">
        <v>46003</v>
      </c>
      <c r="D396" t="inlineStr">
        <is>
          <t>VÄSTRA GÖTALANDS LÄN</t>
        </is>
      </c>
      <c r="E396" t="inlineStr">
        <is>
          <t>MARK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55604-2023</t>
        </is>
      </c>
      <c r="B397" s="1" t="n">
        <v>45238.70208333333</v>
      </c>
      <c r="C397" s="1" t="n">
        <v>46003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6428-2025</t>
        </is>
      </c>
      <c r="B398" s="1" t="n">
        <v>45699</v>
      </c>
      <c r="C398" s="1" t="n">
        <v>46003</v>
      </c>
      <c r="D398" t="inlineStr">
        <is>
          <t>VÄSTRA GÖTALANDS LÄN</t>
        </is>
      </c>
      <c r="E398" t="inlineStr">
        <is>
          <t>MARK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53529-2023</t>
        </is>
      </c>
      <c r="B399" s="1" t="n">
        <v>45230</v>
      </c>
      <c r="C399" s="1" t="n">
        <v>46003</v>
      </c>
      <c r="D399" t="inlineStr">
        <is>
          <t>VÄSTRA GÖTALANDS LÄN</t>
        </is>
      </c>
      <c r="E399" t="inlineStr">
        <is>
          <t>MARK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21293-2025</t>
        </is>
      </c>
      <c r="B400" s="1" t="n">
        <v>45780.44622685185</v>
      </c>
      <c r="C400" s="1" t="n">
        <v>46003</v>
      </c>
      <c r="D400" t="inlineStr">
        <is>
          <t>VÄSTRA GÖTALANDS LÄN</t>
        </is>
      </c>
      <c r="E400" t="inlineStr">
        <is>
          <t>MARK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21294-2025</t>
        </is>
      </c>
      <c r="B401" s="1" t="n">
        <v>45780.4630787037</v>
      </c>
      <c r="C401" s="1" t="n">
        <v>46003</v>
      </c>
      <c r="D401" t="inlineStr">
        <is>
          <t>VÄSTRA GÖTALANDS LÄN</t>
        </is>
      </c>
      <c r="E401" t="inlineStr">
        <is>
          <t>MARK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18589-2025</t>
        </is>
      </c>
      <c r="B402" s="1" t="n">
        <v>45763.47604166667</v>
      </c>
      <c r="C402" s="1" t="n">
        <v>46003</v>
      </c>
      <c r="D402" t="inlineStr">
        <is>
          <t>VÄSTRA GÖTALANDS LÄN</t>
        </is>
      </c>
      <c r="E402" t="inlineStr">
        <is>
          <t>MARK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18593-2025</t>
        </is>
      </c>
      <c r="B403" s="1" t="n">
        <v>45763.48221064815</v>
      </c>
      <c r="C403" s="1" t="n">
        <v>46003</v>
      </c>
      <c r="D403" t="inlineStr">
        <is>
          <t>VÄSTRA GÖTALANDS LÄN</t>
        </is>
      </c>
      <c r="E403" t="inlineStr">
        <is>
          <t>MARK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65145-2023</t>
        </is>
      </c>
      <c r="B404" s="1" t="n">
        <v>45288</v>
      </c>
      <c r="C404" s="1" t="n">
        <v>46003</v>
      </c>
      <c r="D404" t="inlineStr">
        <is>
          <t>VÄSTRA GÖTALANDS LÄN</t>
        </is>
      </c>
      <c r="E404" t="inlineStr">
        <is>
          <t>MARK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29092-2021</t>
        </is>
      </c>
      <c r="B405" s="1" t="n">
        <v>44358.56871527778</v>
      </c>
      <c r="C405" s="1" t="n">
        <v>46003</v>
      </c>
      <c r="D405" t="inlineStr">
        <is>
          <t>VÄSTRA GÖTALANDS LÄN</t>
        </is>
      </c>
      <c r="E405" t="inlineStr">
        <is>
          <t>MARK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38587-2025</t>
        </is>
      </c>
      <c r="B406" s="1" t="n">
        <v>45884.47306712963</v>
      </c>
      <c r="C406" s="1" t="n">
        <v>46003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19185-2024</t>
        </is>
      </c>
      <c r="B407" s="1" t="n">
        <v>45428.48590277778</v>
      </c>
      <c r="C407" s="1" t="n">
        <v>46003</v>
      </c>
      <c r="D407" t="inlineStr">
        <is>
          <t>VÄSTRA GÖTALANDS LÄN</t>
        </is>
      </c>
      <c r="E407" t="inlineStr">
        <is>
          <t>MARK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21260-2025</t>
        </is>
      </c>
      <c r="B408" s="1" t="n">
        <v>45779.60204861111</v>
      </c>
      <c r="C408" s="1" t="n">
        <v>46003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32035-2024</t>
        </is>
      </c>
      <c r="B409" s="1" t="n">
        <v>45510.67900462963</v>
      </c>
      <c r="C409" s="1" t="n">
        <v>46003</v>
      </c>
      <c r="D409" t="inlineStr">
        <is>
          <t>VÄSTRA GÖTALANDS LÄN</t>
        </is>
      </c>
      <c r="E409" t="inlineStr">
        <is>
          <t>MARK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22426-2022</t>
        </is>
      </c>
      <c r="B410" s="1" t="n">
        <v>44713.47829861111</v>
      </c>
      <c r="C410" s="1" t="n">
        <v>46003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53832-2021</t>
        </is>
      </c>
      <c r="B411" s="1" t="n">
        <v>44469</v>
      </c>
      <c r="C411" s="1" t="n">
        <v>46003</v>
      </c>
      <c r="D411" t="inlineStr">
        <is>
          <t>VÄSTRA GÖTALANDS LÄN</t>
        </is>
      </c>
      <c r="E411" t="inlineStr">
        <is>
          <t>MARK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11576-2024</t>
        </is>
      </c>
      <c r="B412" s="1" t="n">
        <v>45373.33706018519</v>
      </c>
      <c r="C412" s="1" t="n">
        <v>46003</v>
      </c>
      <c r="D412" t="inlineStr">
        <is>
          <t>VÄSTRA GÖTALANDS LÄN</t>
        </is>
      </c>
      <c r="E412" t="inlineStr">
        <is>
          <t>MARK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5592-2025</t>
        </is>
      </c>
      <c r="B413" s="1" t="n">
        <v>45693.56583333333</v>
      </c>
      <c r="C413" s="1" t="n">
        <v>46003</v>
      </c>
      <c r="D413" t="inlineStr">
        <is>
          <t>VÄSTRA GÖTALANDS LÄN</t>
        </is>
      </c>
      <c r="E413" t="inlineStr">
        <is>
          <t>MARK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22625-2022</t>
        </is>
      </c>
      <c r="B414" s="1" t="n">
        <v>44714.43248842593</v>
      </c>
      <c r="C414" s="1" t="n">
        <v>46003</v>
      </c>
      <c r="D414" t="inlineStr">
        <is>
          <t>VÄSTRA GÖTALANDS LÄN</t>
        </is>
      </c>
      <c r="E414" t="inlineStr">
        <is>
          <t>MARK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12368-2022</t>
        </is>
      </c>
      <c r="B415" s="1" t="n">
        <v>44637</v>
      </c>
      <c r="C415" s="1" t="n">
        <v>46003</v>
      </c>
      <c r="D415" t="inlineStr">
        <is>
          <t>VÄSTRA GÖTALANDS LÄN</t>
        </is>
      </c>
      <c r="E415" t="inlineStr">
        <is>
          <t>MARK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34167-2023</t>
        </is>
      </c>
      <c r="B416" s="1" t="n">
        <v>45137</v>
      </c>
      <c r="C416" s="1" t="n">
        <v>46003</v>
      </c>
      <c r="D416" t="inlineStr">
        <is>
          <t>VÄSTRA GÖTALANDS LÄN</t>
        </is>
      </c>
      <c r="E416" t="inlineStr">
        <is>
          <t>MARK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61059-2023</t>
        </is>
      </c>
      <c r="B417" s="1" t="n">
        <v>45260</v>
      </c>
      <c r="C417" s="1" t="n">
        <v>46003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21854-2025</t>
        </is>
      </c>
      <c r="B418" s="1" t="n">
        <v>45784.34763888889</v>
      </c>
      <c r="C418" s="1" t="n">
        <v>46003</v>
      </c>
      <c r="D418" t="inlineStr">
        <is>
          <t>VÄSTRA GÖTALANDS LÄN</t>
        </is>
      </c>
      <c r="E418" t="inlineStr">
        <is>
          <t>MARK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22022-2024</t>
        </is>
      </c>
      <c r="B419" s="1" t="n">
        <v>45443.5905324074</v>
      </c>
      <c r="C419" s="1" t="n">
        <v>46003</v>
      </c>
      <c r="D419" t="inlineStr">
        <is>
          <t>VÄSTRA GÖTALANDS LÄN</t>
        </is>
      </c>
      <c r="E419" t="inlineStr">
        <is>
          <t>MARK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44508-2024</t>
        </is>
      </c>
      <c r="B420" s="1" t="n">
        <v>45574.41392361111</v>
      </c>
      <c r="C420" s="1" t="n">
        <v>46003</v>
      </c>
      <c r="D420" t="inlineStr">
        <is>
          <t>VÄSTRA GÖTALANDS LÄN</t>
        </is>
      </c>
      <c r="E420" t="inlineStr">
        <is>
          <t>MARK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54039-2024</t>
        </is>
      </c>
      <c r="B421" s="1" t="n">
        <v>45616.43416666667</v>
      </c>
      <c r="C421" s="1" t="n">
        <v>46003</v>
      </c>
      <c r="D421" t="inlineStr">
        <is>
          <t>VÄSTRA GÖTALANDS LÄN</t>
        </is>
      </c>
      <c r="E421" t="inlineStr">
        <is>
          <t>MARK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21880-2025</t>
        </is>
      </c>
      <c r="B422" s="1" t="n">
        <v>45784.40811342592</v>
      </c>
      <c r="C422" s="1" t="n">
        <v>46003</v>
      </c>
      <c r="D422" t="inlineStr">
        <is>
          <t>VÄSTRA GÖTALANDS LÄN</t>
        </is>
      </c>
      <c r="E422" t="inlineStr">
        <is>
          <t>MARK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26852-2023</t>
        </is>
      </c>
      <c r="B423" s="1" t="n">
        <v>45093.56304398148</v>
      </c>
      <c r="C423" s="1" t="n">
        <v>46003</v>
      </c>
      <c r="D423" t="inlineStr">
        <is>
          <t>VÄSTRA GÖTALANDS LÄN</t>
        </is>
      </c>
      <c r="E423" t="inlineStr">
        <is>
          <t>MARK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39601-2024</t>
        </is>
      </c>
      <c r="B424" s="1" t="n">
        <v>45552.38377314815</v>
      </c>
      <c r="C424" s="1" t="n">
        <v>46003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33898-2023</t>
        </is>
      </c>
      <c r="B425" s="1" t="n">
        <v>45134.37270833334</v>
      </c>
      <c r="C425" s="1" t="n">
        <v>46003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18166-2025</t>
        </is>
      </c>
      <c r="B426" s="1" t="n">
        <v>45761.63997685185</v>
      </c>
      <c r="C426" s="1" t="n">
        <v>46003</v>
      </c>
      <c r="D426" t="inlineStr">
        <is>
          <t>VÄSTRA GÖTALANDS LÄN</t>
        </is>
      </c>
      <c r="E426" t="inlineStr">
        <is>
          <t>MARK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57766-2022</t>
        </is>
      </c>
      <c r="B427" s="1" t="n">
        <v>44897</v>
      </c>
      <c r="C427" s="1" t="n">
        <v>46003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50986-2021</t>
        </is>
      </c>
      <c r="B428" s="1" t="n">
        <v>44460.71118055555</v>
      </c>
      <c r="C428" s="1" t="n">
        <v>46003</v>
      </c>
      <c r="D428" t="inlineStr">
        <is>
          <t>VÄSTRA GÖTALANDS LÄN</t>
        </is>
      </c>
      <c r="E428" t="inlineStr">
        <is>
          <t>MARK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1068-2023</t>
        </is>
      </c>
      <c r="B429" s="1" t="n">
        <v>44935</v>
      </c>
      <c r="C429" s="1" t="n">
        <v>46003</v>
      </c>
      <c r="D429" t="inlineStr">
        <is>
          <t>VÄSTRA GÖTALANDS LÄN</t>
        </is>
      </c>
      <c r="E429" t="inlineStr">
        <is>
          <t>MARK</t>
        </is>
      </c>
      <c r="G429" t="n">
        <v>26.5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38553-2025</t>
        </is>
      </c>
      <c r="B430" s="1" t="n">
        <v>45884.44027777778</v>
      </c>
      <c r="C430" s="1" t="n">
        <v>46003</v>
      </c>
      <c r="D430" t="inlineStr">
        <is>
          <t>VÄSTRA GÖTALANDS LÄN</t>
        </is>
      </c>
      <c r="E430" t="inlineStr">
        <is>
          <t>MARK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14139-2025</t>
        </is>
      </c>
      <c r="B431" s="1" t="n">
        <v>45740.47939814815</v>
      </c>
      <c r="C431" s="1" t="n">
        <v>46003</v>
      </c>
      <c r="D431" t="inlineStr">
        <is>
          <t>VÄSTRA GÖTALANDS LÄN</t>
        </is>
      </c>
      <c r="E431" t="inlineStr">
        <is>
          <t>MARK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4139-2022</t>
        </is>
      </c>
      <c r="B432" s="1" t="n">
        <v>44588.47560185185</v>
      </c>
      <c r="C432" s="1" t="n">
        <v>46003</v>
      </c>
      <c r="D432" t="inlineStr">
        <is>
          <t>VÄSTRA GÖTALANDS LÄN</t>
        </is>
      </c>
      <c r="E432" t="inlineStr">
        <is>
          <t>MARK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54374-2023</t>
        </is>
      </c>
      <c r="B433" s="1" t="n">
        <v>45233</v>
      </c>
      <c r="C433" s="1" t="n">
        <v>46003</v>
      </c>
      <c r="D433" t="inlineStr">
        <is>
          <t>VÄSTRA GÖTALANDS LÄN</t>
        </is>
      </c>
      <c r="E433" t="inlineStr">
        <is>
          <t>MARK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43350-2021</t>
        </is>
      </c>
      <c r="B434" s="1" t="n">
        <v>44432</v>
      </c>
      <c r="C434" s="1" t="n">
        <v>46003</v>
      </c>
      <c r="D434" t="inlineStr">
        <is>
          <t>VÄSTRA GÖTALANDS LÄN</t>
        </is>
      </c>
      <c r="E434" t="inlineStr">
        <is>
          <t>MARK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21906-2024</t>
        </is>
      </c>
      <c r="B435" s="1" t="n">
        <v>45443.35165509259</v>
      </c>
      <c r="C435" s="1" t="n">
        <v>46003</v>
      </c>
      <c r="D435" t="inlineStr">
        <is>
          <t>VÄSTRA GÖTALANDS LÄN</t>
        </is>
      </c>
      <c r="E435" t="inlineStr">
        <is>
          <t>MARK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59177-2024</t>
        </is>
      </c>
      <c r="B436" s="1" t="n">
        <v>45637.50666666667</v>
      </c>
      <c r="C436" s="1" t="n">
        <v>46003</v>
      </c>
      <c r="D436" t="inlineStr">
        <is>
          <t>VÄSTRA GÖTALANDS LÄN</t>
        </is>
      </c>
      <c r="E436" t="inlineStr">
        <is>
          <t>MARK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8403-2022</t>
        </is>
      </c>
      <c r="B437" s="1" t="n">
        <v>44610.69429398148</v>
      </c>
      <c r="C437" s="1" t="n">
        <v>46003</v>
      </c>
      <c r="D437" t="inlineStr">
        <is>
          <t>VÄSTRA GÖTALANDS LÄN</t>
        </is>
      </c>
      <c r="E437" t="inlineStr">
        <is>
          <t>MARK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51041-2023</t>
        </is>
      </c>
      <c r="B438" s="1" t="n">
        <v>45218</v>
      </c>
      <c r="C438" s="1" t="n">
        <v>46003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19608-2024</t>
        </is>
      </c>
      <c r="B439" s="1" t="n">
        <v>45432.29416666667</v>
      </c>
      <c r="C439" s="1" t="n">
        <v>46003</v>
      </c>
      <c r="D439" t="inlineStr">
        <is>
          <t>VÄSTRA GÖTALANDS LÄN</t>
        </is>
      </c>
      <c r="E439" t="inlineStr">
        <is>
          <t>MARK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20353-2023</t>
        </is>
      </c>
      <c r="B440" s="1" t="n">
        <v>45056</v>
      </c>
      <c r="C440" s="1" t="n">
        <v>46003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42003-2024</t>
        </is>
      </c>
      <c r="B441" s="1" t="n">
        <v>45561.6612037037</v>
      </c>
      <c r="C441" s="1" t="n">
        <v>46003</v>
      </c>
      <c r="D441" t="inlineStr">
        <is>
          <t>VÄSTRA GÖTALANDS LÄN</t>
        </is>
      </c>
      <c r="E441" t="inlineStr">
        <is>
          <t>MARK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20896-2023</t>
        </is>
      </c>
      <c r="B442" s="1" t="n">
        <v>45059.70721064815</v>
      </c>
      <c r="C442" s="1" t="n">
        <v>46003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37455-2023</t>
        </is>
      </c>
      <c r="B443" s="1" t="n">
        <v>45156.7150462963</v>
      </c>
      <c r="C443" s="1" t="n">
        <v>46003</v>
      </c>
      <c r="D443" t="inlineStr">
        <is>
          <t>VÄSTRA GÖTALANDS LÄN</t>
        </is>
      </c>
      <c r="E443" t="inlineStr">
        <is>
          <t>MARK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39160-2025</t>
        </is>
      </c>
      <c r="B444" s="1" t="n">
        <v>45888.63064814815</v>
      </c>
      <c r="C444" s="1" t="n">
        <v>46003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39122-2025</t>
        </is>
      </c>
      <c r="B445" s="1" t="n">
        <v>45888.57143518519</v>
      </c>
      <c r="C445" s="1" t="n">
        <v>46003</v>
      </c>
      <c r="D445" t="inlineStr">
        <is>
          <t>VÄSTRA GÖTALANDS LÄN</t>
        </is>
      </c>
      <c r="E445" t="inlineStr">
        <is>
          <t>MARK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28047-2023</t>
        </is>
      </c>
      <c r="B446" s="1" t="n">
        <v>45099</v>
      </c>
      <c r="C446" s="1" t="n">
        <v>46003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7134-2022</t>
        </is>
      </c>
      <c r="B447" s="1" t="n">
        <v>44603.69533564815</v>
      </c>
      <c r="C447" s="1" t="n">
        <v>46003</v>
      </c>
      <c r="D447" t="inlineStr">
        <is>
          <t>VÄSTRA GÖTALANDS LÄN</t>
        </is>
      </c>
      <c r="E447" t="inlineStr">
        <is>
          <t>MARK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9017-2022</t>
        </is>
      </c>
      <c r="B448" s="1" t="n">
        <v>44615.37796296296</v>
      </c>
      <c r="C448" s="1" t="n">
        <v>46003</v>
      </c>
      <c r="D448" t="inlineStr">
        <is>
          <t>VÄSTRA GÖTALANDS LÄN</t>
        </is>
      </c>
      <c r="E448" t="inlineStr">
        <is>
          <t>MARK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55424-2021</t>
        </is>
      </c>
      <c r="B449" s="1" t="n">
        <v>44475</v>
      </c>
      <c r="C449" s="1" t="n">
        <v>46003</v>
      </c>
      <c r="D449" t="inlineStr">
        <is>
          <t>VÄSTRA GÖTALANDS LÄN</t>
        </is>
      </c>
      <c r="E449" t="inlineStr">
        <is>
          <t>MARK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31302-2023</t>
        </is>
      </c>
      <c r="B450" s="1" t="n">
        <v>45104</v>
      </c>
      <c r="C450" s="1" t="n">
        <v>46003</v>
      </c>
      <c r="D450" t="inlineStr">
        <is>
          <t>VÄSTRA GÖTALANDS LÄN</t>
        </is>
      </c>
      <c r="E450" t="inlineStr">
        <is>
          <t>MARK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10669-2024</t>
        </is>
      </c>
      <c r="B451" s="1" t="n">
        <v>45369.34547453704</v>
      </c>
      <c r="C451" s="1" t="n">
        <v>46003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4989-2025</t>
        </is>
      </c>
      <c r="B452" s="1" t="n">
        <v>45691.32849537037</v>
      </c>
      <c r="C452" s="1" t="n">
        <v>46003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27768-2024</t>
        </is>
      </c>
      <c r="B453" s="1" t="n">
        <v>45475.51938657407</v>
      </c>
      <c r="C453" s="1" t="n">
        <v>46003</v>
      </c>
      <c r="D453" t="inlineStr">
        <is>
          <t>VÄSTRA GÖTALANDS LÄN</t>
        </is>
      </c>
      <c r="E453" t="inlineStr">
        <is>
          <t>MARK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32631-2023</t>
        </is>
      </c>
      <c r="B454" s="1" t="n">
        <v>45121.58388888889</v>
      </c>
      <c r="C454" s="1" t="n">
        <v>46003</v>
      </c>
      <c r="D454" t="inlineStr">
        <is>
          <t>VÄSTRA GÖTALANDS LÄN</t>
        </is>
      </c>
      <c r="E454" t="inlineStr">
        <is>
          <t>MARK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35390-2025</t>
        </is>
      </c>
      <c r="B455" s="1" t="n">
        <v>45855</v>
      </c>
      <c r="C455" s="1" t="n">
        <v>46003</v>
      </c>
      <c r="D455" t="inlineStr">
        <is>
          <t>VÄSTRA GÖTALANDS LÄN</t>
        </is>
      </c>
      <c r="E455" t="inlineStr">
        <is>
          <t>MARK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59004-2021</t>
        </is>
      </c>
      <c r="B456" s="1" t="n">
        <v>44489</v>
      </c>
      <c r="C456" s="1" t="n">
        <v>46003</v>
      </c>
      <c r="D456" t="inlineStr">
        <is>
          <t>VÄSTRA GÖTALANDS LÄN</t>
        </is>
      </c>
      <c r="E456" t="inlineStr">
        <is>
          <t>MARK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4131-2022</t>
        </is>
      </c>
      <c r="B457" s="1" t="n">
        <v>44588</v>
      </c>
      <c r="C457" s="1" t="n">
        <v>46003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4136-2022</t>
        </is>
      </c>
      <c r="B458" s="1" t="n">
        <v>44588.47145833333</v>
      </c>
      <c r="C458" s="1" t="n">
        <v>46003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35391-2025</t>
        </is>
      </c>
      <c r="B459" s="1" t="n">
        <v>45855</v>
      </c>
      <c r="C459" s="1" t="n">
        <v>46003</v>
      </c>
      <c r="D459" t="inlineStr">
        <is>
          <t>VÄSTRA GÖTALANDS LÄN</t>
        </is>
      </c>
      <c r="E459" t="inlineStr">
        <is>
          <t>MARK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35393-2025</t>
        </is>
      </c>
      <c r="B460" s="1" t="n">
        <v>45855</v>
      </c>
      <c r="C460" s="1" t="n">
        <v>46003</v>
      </c>
      <c r="D460" t="inlineStr">
        <is>
          <t>VÄSTRA GÖTALANDS LÄN</t>
        </is>
      </c>
      <c r="E460" t="inlineStr">
        <is>
          <t>MARK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35728-2023</t>
        </is>
      </c>
      <c r="B461" s="1" t="n">
        <v>45147.80034722222</v>
      </c>
      <c r="C461" s="1" t="n">
        <v>46003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24590-2025</t>
        </is>
      </c>
      <c r="B462" s="1" t="n">
        <v>45798.53462962963</v>
      </c>
      <c r="C462" s="1" t="n">
        <v>46003</v>
      </c>
      <c r="D462" t="inlineStr">
        <is>
          <t>VÄSTRA GÖTALANDS LÄN</t>
        </is>
      </c>
      <c r="E462" t="inlineStr">
        <is>
          <t>MARK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3683-2022</t>
        </is>
      </c>
      <c r="B463" s="1" t="n">
        <v>44586.55920138889</v>
      </c>
      <c r="C463" s="1" t="n">
        <v>46003</v>
      </c>
      <c r="D463" t="inlineStr">
        <is>
          <t>VÄSTRA GÖTALANDS LÄN</t>
        </is>
      </c>
      <c r="E463" t="inlineStr">
        <is>
          <t>MARK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64988-2023</t>
        </is>
      </c>
      <c r="B464" s="1" t="n">
        <v>45285.84443287037</v>
      </c>
      <c r="C464" s="1" t="n">
        <v>46003</v>
      </c>
      <c r="D464" t="inlineStr">
        <is>
          <t>VÄSTRA GÖTALANDS LÄN</t>
        </is>
      </c>
      <c r="E464" t="inlineStr">
        <is>
          <t>MARK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65121-2023</t>
        </is>
      </c>
      <c r="B465" s="1" t="n">
        <v>45288</v>
      </c>
      <c r="C465" s="1" t="n">
        <v>46003</v>
      </c>
      <c r="D465" t="inlineStr">
        <is>
          <t>VÄSTRA GÖTALANDS LÄN</t>
        </is>
      </c>
      <c r="E465" t="inlineStr">
        <is>
          <t>MARK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9265-2024</t>
        </is>
      </c>
      <c r="B466" s="1" t="n">
        <v>45358.60878472222</v>
      </c>
      <c r="C466" s="1" t="n">
        <v>46003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10910-2024</t>
        </is>
      </c>
      <c r="B467" s="1" t="n">
        <v>45370.38751157407</v>
      </c>
      <c r="C467" s="1" t="n">
        <v>46003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26945-2023</t>
        </is>
      </c>
      <c r="B468" s="1" t="n">
        <v>45093</v>
      </c>
      <c r="C468" s="1" t="n">
        <v>46003</v>
      </c>
      <c r="D468" t="inlineStr">
        <is>
          <t>VÄSTRA GÖTALANDS LÄN</t>
        </is>
      </c>
      <c r="E468" t="inlineStr">
        <is>
          <t>MARK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39657-2025</t>
        </is>
      </c>
      <c r="B469" s="1" t="n">
        <v>45890.62850694444</v>
      </c>
      <c r="C469" s="1" t="n">
        <v>46003</v>
      </c>
      <c r="D469" t="inlineStr">
        <is>
          <t>VÄSTRA GÖTALANDS LÄN</t>
        </is>
      </c>
      <c r="E469" t="inlineStr">
        <is>
          <t>MARK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39274-2025</t>
        </is>
      </c>
      <c r="B470" s="1" t="n">
        <v>45889.3877662037</v>
      </c>
      <c r="C470" s="1" t="n">
        <v>46003</v>
      </c>
      <c r="D470" t="inlineStr">
        <is>
          <t>VÄSTRA GÖTALANDS LÄN</t>
        </is>
      </c>
      <c r="E470" t="inlineStr">
        <is>
          <t>MARK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26938-2023</t>
        </is>
      </c>
      <c r="B471" s="1" t="n">
        <v>45093</v>
      </c>
      <c r="C471" s="1" t="n">
        <v>46003</v>
      </c>
      <c r="D471" t="inlineStr">
        <is>
          <t>VÄSTRA GÖTALANDS LÄN</t>
        </is>
      </c>
      <c r="E471" t="inlineStr">
        <is>
          <t>MARK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22157-2025</t>
        </is>
      </c>
      <c r="B472" s="1" t="n">
        <v>45785.57702546296</v>
      </c>
      <c r="C472" s="1" t="n">
        <v>46003</v>
      </c>
      <c r="D472" t="inlineStr">
        <is>
          <t>VÄSTRA GÖTALANDS LÄN</t>
        </is>
      </c>
      <c r="E472" t="inlineStr">
        <is>
          <t>MARK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8372-2024</t>
        </is>
      </c>
      <c r="B473" s="1" t="n">
        <v>45352.62096064815</v>
      </c>
      <c r="C473" s="1" t="n">
        <v>46003</v>
      </c>
      <c r="D473" t="inlineStr">
        <is>
          <t>VÄSTRA GÖTALANDS LÄN</t>
        </is>
      </c>
      <c r="E473" t="inlineStr">
        <is>
          <t>MARK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44937.66662037037</v>
      </c>
      <c r="C474" s="1" t="n">
        <v>46003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7628-2024</t>
        </is>
      </c>
      <c r="B475" s="1" t="n">
        <v>45348</v>
      </c>
      <c r="C475" s="1" t="n">
        <v>46003</v>
      </c>
      <c r="D475" t="inlineStr">
        <is>
          <t>VÄSTRA GÖTALANDS LÄN</t>
        </is>
      </c>
      <c r="E475" t="inlineStr">
        <is>
          <t>MARK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2128-2025</t>
        </is>
      </c>
      <c r="B476" s="1" t="n">
        <v>45672.65099537037</v>
      </c>
      <c r="C476" s="1" t="n">
        <v>46003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39858-2025</t>
        </is>
      </c>
      <c r="B477" s="1" t="n">
        <v>45891.59162037037</v>
      </c>
      <c r="C477" s="1" t="n">
        <v>46003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5465-2024</t>
        </is>
      </c>
      <c r="B478" s="1" t="n">
        <v>45332.54150462963</v>
      </c>
      <c r="C478" s="1" t="n">
        <v>46003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49408-2024</t>
        </is>
      </c>
      <c r="B479" s="1" t="n">
        <v>45595.68054398148</v>
      </c>
      <c r="C479" s="1" t="n">
        <v>46003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32780-2021</t>
        </is>
      </c>
      <c r="B480" s="1" t="n">
        <v>44375</v>
      </c>
      <c r="C480" s="1" t="n">
        <v>46003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Kyrkan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40443-2025</t>
        </is>
      </c>
      <c r="B481" s="1" t="n">
        <v>45895.62972222222</v>
      </c>
      <c r="C481" s="1" t="n">
        <v>46003</v>
      </c>
      <c r="D481" t="inlineStr">
        <is>
          <t>VÄSTRA GÖTALANDS LÄN</t>
        </is>
      </c>
      <c r="E481" t="inlineStr">
        <is>
          <t>MARK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40631-2025</t>
        </is>
      </c>
      <c r="B482" s="1" t="n">
        <v>45896.59461805555</v>
      </c>
      <c r="C482" s="1" t="n">
        <v>46003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64740-2023</t>
        </is>
      </c>
      <c r="B483" s="1" t="n">
        <v>45281</v>
      </c>
      <c r="C483" s="1" t="n">
        <v>46003</v>
      </c>
      <c r="D483" t="inlineStr">
        <is>
          <t>VÄSTRA GÖTALANDS LÄN</t>
        </is>
      </c>
      <c r="E483" t="inlineStr">
        <is>
          <t>MARK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14873-2021</t>
        </is>
      </c>
      <c r="B484" s="1" t="n">
        <v>44281</v>
      </c>
      <c r="C484" s="1" t="n">
        <v>46003</v>
      </c>
      <c r="D484" t="inlineStr">
        <is>
          <t>VÄSTRA GÖTALANDS LÄN</t>
        </is>
      </c>
      <c r="E484" t="inlineStr">
        <is>
          <t>MARK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40599-2025</t>
        </is>
      </c>
      <c r="B485" s="1" t="n">
        <v>45896.55476851852</v>
      </c>
      <c r="C485" s="1" t="n">
        <v>46003</v>
      </c>
      <c r="D485" t="inlineStr">
        <is>
          <t>VÄSTRA GÖTALANDS LÄN</t>
        </is>
      </c>
      <c r="E485" t="inlineStr">
        <is>
          <t>MARK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40258-2025</t>
        </is>
      </c>
      <c r="B486" s="1" t="n">
        <v>45895.32802083333</v>
      </c>
      <c r="C486" s="1" t="n">
        <v>46003</v>
      </c>
      <c r="D486" t="inlineStr">
        <is>
          <t>VÄSTRA GÖTALANDS LÄN</t>
        </is>
      </c>
      <c r="E486" t="inlineStr">
        <is>
          <t>MARK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34531-2024</t>
        </is>
      </c>
      <c r="B487" s="1" t="n">
        <v>45525.70528935185</v>
      </c>
      <c r="C487" s="1" t="n">
        <v>46003</v>
      </c>
      <c r="D487" t="inlineStr">
        <is>
          <t>VÄSTRA GÖTALANDS LÄN</t>
        </is>
      </c>
      <c r="E487" t="inlineStr">
        <is>
          <t>MARK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9113-2025</t>
        </is>
      </c>
      <c r="B488" s="1" t="n">
        <v>45713.78631944444</v>
      </c>
      <c r="C488" s="1" t="n">
        <v>46003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40645-2025</t>
        </is>
      </c>
      <c r="B489" s="1" t="n">
        <v>45896.61844907407</v>
      </c>
      <c r="C489" s="1" t="n">
        <v>46003</v>
      </c>
      <c r="D489" t="inlineStr">
        <is>
          <t>VÄSTRA GÖTALANDS LÄN</t>
        </is>
      </c>
      <c r="E489" t="inlineStr">
        <is>
          <t>MARK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1453-2024</t>
        </is>
      </c>
      <c r="B490" s="1" t="n">
        <v>45303.82884259259</v>
      </c>
      <c r="C490" s="1" t="n">
        <v>46003</v>
      </c>
      <c r="D490" t="inlineStr">
        <is>
          <t>VÄSTRA GÖTALANDS LÄN</t>
        </is>
      </c>
      <c r="E490" t="inlineStr">
        <is>
          <t>MARK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40609-2025</t>
        </is>
      </c>
      <c r="B491" s="1" t="n">
        <v>45896.57364583333</v>
      </c>
      <c r="C491" s="1" t="n">
        <v>46003</v>
      </c>
      <c r="D491" t="inlineStr">
        <is>
          <t>VÄSTRA GÖTALANDS LÄN</t>
        </is>
      </c>
      <c r="E491" t="inlineStr">
        <is>
          <t>MARK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30381-2022</t>
        </is>
      </c>
      <c r="B492" s="1" t="n">
        <v>44760.71414351852</v>
      </c>
      <c r="C492" s="1" t="n">
        <v>46003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11575-2022</t>
        </is>
      </c>
      <c r="B493" s="1" t="n">
        <v>44631</v>
      </c>
      <c r="C493" s="1" t="n">
        <v>46003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40965-2025</t>
        </is>
      </c>
      <c r="B494" s="1" t="n">
        <v>45897.75951388889</v>
      </c>
      <c r="C494" s="1" t="n">
        <v>46003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38357-2024</t>
        </is>
      </c>
      <c r="B495" s="1" t="n">
        <v>45545.7605787037</v>
      </c>
      <c r="C495" s="1" t="n">
        <v>46003</v>
      </c>
      <c r="D495" t="inlineStr">
        <is>
          <t>VÄSTRA GÖTALANDS LÄN</t>
        </is>
      </c>
      <c r="E495" t="inlineStr">
        <is>
          <t>MARK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41162-2025</t>
        </is>
      </c>
      <c r="B496" s="1" t="n">
        <v>45898.53216435185</v>
      </c>
      <c r="C496" s="1" t="n">
        <v>46003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2366-2025</t>
        </is>
      </c>
      <c r="B497" s="1" t="n">
        <v>45673.72951388889</v>
      </c>
      <c r="C497" s="1" t="n">
        <v>46003</v>
      </c>
      <c r="D497" t="inlineStr">
        <is>
          <t>VÄSTRA GÖTALANDS LÄN</t>
        </is>
      </c>
      <c r="E497" t="inlineStr">
        <is>
          <t>MARK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17771-2024</t>
        </is>
      </c>
      <c r="B498" s="1" t="n">
        <v>45418</v>
      </c>
      <c r="C498" s="1" t="n">
        <v>46003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51553-2023</t>
        </is>
      </c>
      <c r="B499" s="1" t="n">
        <v>45222</v>
      </c>
      <c r="C499" s="1" t="n">
        <v>46003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11655-2023</t>
        </is>
      </c>
      <c r="B500" s="1" t="n">
        <v>44994.45974537037</v>
      </c>
      <c r="C500" s="1" t="n">
        <v>46003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41132-2025</t>
        </is>
      </c>
      <c r="B501" s="1" t="n">
        <v>45898.48224537037</v>
      </c>
      <c r="C501" s="1" t="n">
        <v>46003</v>
      </c>
      <c r="D501" t="inlineStr">
        <is>
          <t>VÄSTRA GÖTALANDS LÄN</t>
        </is>
      </c>
      <c r="E501" t="inlineStr">
        <is>
          <t>MARK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41136-2025</t>
        </is>
      </c>
      <c r="B502" s="1" t="n">
        <v>45898.4855787037</v>
      </c>
      <c r="C502" s="1" t="n">
        <v>46003</v>
      </c>
      <c r="D502" t="inlineStr">
        <is>
          <t>VÄSTRA GÖTALANDS LÄN</t>
        </is>
      </c>
      <c r="E502" t="inlineStr">
        <is>
          <t>MARK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3245-2021</t>
        </is>
      </c>
      <c r="B503" s="1" t="n">
        <v>44217</v>
      </c>
      <c r="C503" s="1" t="n">
        <v>46003</v>
      </c>
      <c r="D503" t="inlineStr">
        <is>
          <t>VÄSTRA GÖTALANDS LÄN</t>
        </is>
      </c>
      <c r="E503" t="inlineStr">
        <is>
          <t>MARK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7343-2023</t>
        </is>
      </c>
      <c r="B504" s="1" t="n">
        <v>44971</v>
      </c>
      <c r="C504" s="1" t="n">
        <v>46003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20177-2024</t>
        </is>
      </c>
      <c r="B505" s="1" t="n">
        <v>45434.61606481481</v>
      </c>
      <c r="C505" s="1" t="n">
        <v>46003</v>
      </c>
      <c r="D505" t="inlineStr">
        <is>
          <t>VÄSTRA GÖTALANDS LÄN</t>
        </is>
      </c>
      <c r="E505" t="inlineStr">
        <is>
          <t>MARK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14426-2022</t>
        </is>
      </c>
      <c r="B506" s="1" t="n">
        <v>44652</v>
      </c>
      <c r="C506" s="1" t="n">
        <v>46003</v>
      </c>
      <c r="D506" t="inlineStr">
        <is>
          <t>VÄSTRA GÖTALANDS LÄN</t>
        </is>
      </c>
      <c r="E506" t="inlineStr">
        <is>
          <t>MARK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59151-2023</t>
        </is>
      </c>
      <c r="B507" s="1" t="n">
        <v>45251</v>
      </c>
      <c r="C507" s="1" t="n">
        <v>46003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59163-2023</t>
        </is>
      </c>
      <c r="B508" s="1" t="n">
        <v>45251</v>
      </c>
      <c r="C508" s="1" t="n">
        <v>46003</v>
      </c>
      <c r="D508" t="inlineStr">
        <is>
          <t>VÄSTRA GÖTALANDS LÄN</t>
        </is>
      </c>
      <c r="E508" t="inlineStr">
        <is>
          <t>MARK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22642-2025</t>
        </is>
      </c>
      <c r="B509" s="1" t="n">
        <v>45789.45525462963</v>
      </c>
      <c r="C509" s="1" t="n">
        <v>46003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22914-2022</t>
        </is>
      </c>
      <c r="B510" s="1" t="n">
        <v>44715</v>
      </c>
      <c r="C510" s="1" t="n">
        <v>46003</v>
      </c>
      <c r="D510" t="inlineStr">
        <is>
          <t>VÄSTRA GÖTALANDS LÄN</t>
        </is>
      </c>
      <c r="E510" t="inlineStr">
        <is>
          <t>MARK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41613-2025</t>
        </is>
      </c>
      <c r="B511" s="1" t="n">
        <v>45901.67724537037</v>
      </c>
      <c r="C511" s="1" t="n">
        <v>46003</v>
      </c>
      <c r="D511" t="inlineStr">
        <is>
          <t>VÄSTRA GÖTALANDS LÄN</t>
        </is>
      </c>
      <c r="E511" t="inlineStr">
        <is>
          <t>MARK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9559-2023</t>
        </is>
      </c>
      <c r="B512" s="1" t="n">
        <v>44982</v>
      </c>
      <c r="C512" s="1" t="n">
        <v>46003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42061-2025</t>
        </is>
      </c>
      <c r="B513" s="1" t="n">
        <v>45903.65025462963</v>
      </c>
      <c r="C513" s="1" t="n">
        <v>46003</v>
      </c>
      <c r="D513" t="inlineStr">
        <is>
          <t>VÄSTRA GÖTALANDS LÄN</t>
        </is>
      </c>
      <c r="E513" t="inlineStr">
        <is>
          <t>MARK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4800-2025</t>
        </is>
      </c>
      <c r="B514" s="1" t="n">
        <v>45688.59099537037</v>
      </c>
      <c r="C514" s="1" t="n">
        <v>46003</v>
      </c>
      <c r="D514" t="inlineStr">
        <is>
          <t>VÄSTRA GÖTALANDS LÄN</t>
        </is>
      </c>
      <c r="E514" t="inlineStr">
        <is>
          <t>MARK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29366-2023</t>
        </is>
      </c>
      <c r="B515" s="1" t="n">
        <v>45106</v>
      </c>
      <c r="C515" s="1" t="n">
        <v>46003</v>
      </c>
      <c r="D515" t="inlineStr">
        <is>
          <t>VÄSTRA GÖTALANDS LÄN</t>
        </is>
      </c>
      <c r="E515" t="inlineStr">
        <is>
          <t>MARK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29368-2023</t>
        </is>
      </c>
      <c r="B516" s="1" t="n">
        <v>45106.36351851852</v>
      </c>
      <c r="C516" s="1" t="n">
        <v>46003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57411-2024</t>
        </is>
      </c>
      <c r="B517" s="1" t="n">
        <v>45629.76388888889</v>
      </c>
      <c r="C517" s="1" t="n">
        <v>46003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16988-2025</t>
        </is>
      </c>
      <c r="B518" s="1" t="n">
        <v>45755.49395833333</v>
      </c>
      <c r="C518" s="1" t="n">
        <v>46003</v>
      </c>
      <c r="D518" t="inlineStr">
        <is>
          <t>VÄSTRA GÖTALANDS LÄN</t>
        </is>
      </c>
      <c r="E518" t="inlineStr">
        <is>
          <t>MARK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11414-2022</t>
        </is>
      </c>
      <c r="B519" s="1" t="n">
        <v>44630</v>
      </c>
      <c r="C519" s="1" t="n">
        <v>46003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42464-2025</t>
        </is>
      </c>
      <c r="B520" s="1" t="n">
        <v>45905</v>
      </c>
      <c r="C520" s="1" t="n">
        <v>46003</v>
      </c>
      <c r="D520" t="inlineStr">
        <is>
          <t>VÄSTRA GÖTALANDS LÄN</t>
        </is>
      </c>
      <c r="E520" t="inlineStr">
        <is>
          <t>MARK</t>
        </is>
      </c>
      <c r="F520" t="inlineStr">
        <is>
          <t>Sveaskog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8856-2023</t>
        </is>
      </c>
      <c r="B521" s="1" t="n">
        <v>44978.89082175926</v>
      </c>
      <c r="C521" s="1" t="n">
        <v>46003</v>
      </c>
      <c r="D521" t="inlineStr">
        <is>
          <t>VÄSTRA GÖTALANDS LÄN</t>
        </is>
      </c>
      <c r="E521" t="inlineStr">
        <is>
          <t>MARK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10890-2024</t>
        </is>
      </c>
      <c r="B522" s="1" t="n">
        <v>45370</v>
      </c>
      <c r="C522" s="1" t="n">
        <v>46003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42848-2025</t>
        </is>
      </c>
      <c r="B523" s="1" t="n">
        <v>45908.59571759259</v>
      </c>
      <c r="C523" s="1" t="n">
        <v>46003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5871-2023</t>
        </is>
      </c>
      <c r="B524" s="1" t="n">
        <v>44963</v>
      </c>
      <c r="C524" s="1" t="n">
        <v>46003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27409-2024</t>
        </is>
      </c>
      <c r="B525" s="1" t="n">
        <v>45474</v>
      </c>
      <c r="C525" s="1" t="n">
        <v>46003</v>
      </c>
      <c r="D525" t="inlineStr">
        <is>
          <t>VÄSTRA GÖTALANDS LÄN</t>
        </is>
      </c>
      <c r="E525" t="inlineStr">
        <is>
          <t>MARK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33899-2023</t>
        </is>
      </c>
      <c r="B526" s="1" t="n">
        <v>45134.37305555555</v>
      </c>
      <c r="C526" s="1" t="n">
        <v>46003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2625-2022</t>
        </is>
      </c>
      <c r="B527" s="1" t="n">
        <v>44580.45658564815</v>
      </c>
      <c r="C527" s="1" t="n">
        <v>46003</v>
      </c>
      <c r="D527" t="inlineStr">
        <is>
          <t>VÄSTRA GÖTALANDS LÄN</t>
        </is>
      </c>
      <c r="E527" t="inlineStr">
        <is>
          <t>MARK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22037-2024</t>
        </is>
      </c>
      <c r="B528" s="1" t="n">
        <v>45443.60728009259</v>
      </c>
      <c r="C528" s="1" t="n">
        <v>46003</v>
      </c>
      <c r="D528" t="inlineStr">
        <is>
          <t>VÄSTRA GÖTALANDS LÄN</t>
        </is>
      </c>
      <c r="E528" t="inlineStr">
        <is>
          <t>MARK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52242-2023</t>
        </is>
      </c>
      <c r="B529" s="1" t="n">
        <v>45224</v>
      </c>
      <c r="C529" s="1" t="n">
        <v>46003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42521-2025</t>
        </is>
      </c>
      <c r="B530" s="1" t="n">
        <v>45905.5500925926</v>
      </c>
      <c r="C530" s="1" t="n">
        <v>46003</v>
      </c>
      <c r="D530" t="inlineStr">
        <is>
          <t>VÄSTRA GÖTALANDS LÄN</t>
        </is>
      </c>
      <c r="E530" t="inlineStr">
        <is>
          <t>MARK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42466-2025</t>
        </is>
      </c>
      <c r="B531" s="1" t="n">
        <v>45905</v>
      </c>
      <c r="C531" s="1" t="n">
        <v>46003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37370-2024</t>
        </is>
      </c>
      <c r="B532" s="1" t="n">
        <v>45540.56581018519</v>
      </c>
      <c r="C532" s="1" t="n">
        <v>46003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19996-2025</t>
        </is>
      </c>
      <c r="B533" s="1" t="n">
        <v>45771.77300925926</v>
      </c>
      <c r="C533" s="1" t="n">
        <v>46003</v>
      </c>
      <c r="D533" t="inlineStr">
        <is>
          <t>VÄSTRA GÖTALANDS LÄN</t>
        </is>
      </c>
      <c r="E533" t="inlineStr">
        <is>
          <t>MARK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4378-2025</t>
        </is>
      </c>
      <c r="B534" s="1" t="n">
        <v>45686.39112268519</v>
      </c>
      <c r="C534" s="1" t="n">
        <v>46003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8918-2023</t>
        </is>
      </c>
      <c r="B535" s="1" t="n">
        <v>44973</v>
      </c>
      <c r="C535" s="1" t="n">
        <v>46003</v>
      </c>
      <c r="D535" t="inlineStr">
        <is>
          <t>VÄSTRA GÖTALANDS LÄN</t>
        </is>
      </c>
      <c r="E535" t="inlineStr">
        <is>
          <t>MARK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42921-2025</t>
        </is>
      </c>
      <c r="B536" s="1" t="n">
        <v>45908.8787037037</v>
      </c>
      <c r="C536" s="1" t="n">
        <v>46003</v>
      </c>
      <c r="D536" t="inlineStr">
        <is>
          <t>VÄSTRA GÖTALANDS LÄN</t>
        </is>
      </c>
      <c r="E536" t="inlineStr">
        <is>
          <t>MARK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54119-2024</t>
        </is>
      </c>
      <c r="B537" s="1" t="n">
        <v>45616.57194444445</v>
      </c>
      <c r="C537" s="1" t="n">
        <v>46003</v>
      </c>
      <c r="D537" t="inlineStr">
        <is>
          <t>VÄSTRA GÖTALANDS LÄN</t>
        </is>
      </c>
      <c r="E537" t="inlineStr">
        <is>
          <t>MARK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12127-2024</t>
        </is>
      </c>
      <c r="B538" s="1" t="n">
        <v>45377.64670138889</v>
      </c>
      <c r="C538" s="1" t="n">
        <v>46003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Kyrkan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43027-2025</t>
        </is>
      </c>
      <c r="B539" s="1" t="n">
        <v>45909.5346875</v>
      </c>
      <c r="C539" s="1" t="n">
        <v>46003</v>
      </c>
      <c r="D539" t="inlineStr">
        <is>
          <t>VÄSTRA GÖTALANDS LÄN</t>
        </is>
      </c>
      <c r="E539" t="inlineStr">
        <is>
          <t>MARK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7455-2022</t>
        </is>
      </c>
      <c r="B540" s="1" t="n">
        <v>44607.34837962963</v>
      </c>
      <c r="C540" s="1" t="n">
        <v>46003</v>
      </c>
      <c r="D540" t="inlineStr">
        <is>
          <t>VÄSTRA GÖTALANDS LÄN</t>
        </is>
      </c>
      <c r="E540" t="inlineStr">
        <is>
          <t>MARK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21639-2024</t>
        </is>
      </c>
      <c r="B541" s="1" t="n">
        <v>45442.34746527778</v>
      </c>
      <c r="C541" s="1" t="n">
        <v>46003</v>
      </c>
      <c r="D541" t="inlineStr">
        <is>
          <t>VÄSTRA GÖTALANDS LÄN</t>
        </is>
      </c>
      <c r="E541" t="inlineStr">
        <is>
          <t>MARK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43347-2025</t>
        </is>
      </c>
      <c r="B542" s="1" t="n">
        <v>45910.90111111111</v>
      </c>
      <c r="C542" s="1" t="n">
        <v>46003</v>
      </c>
      <c r="D542" t="inlineStr">
        <is>
          <t>VÄSTRA GÖTALANDS LÄN</t>
        </is>
      </c>
      <c r="E542" t="inlineStr">
        <is>
          <t>MARK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23598-2024</t>
        </is>
      </c>
      <c r="B543" s="1" t="n">
        <v>45454</v>
      </c>
      <c r="C543" s="1" t="n">
        <v>46003</v>
      </c>
      <c r="D543" t="inlineStr">
        <is>
          <t>VÄSTRA GÖTALANDS LÄN</t>
        </is>
      </c>
      <c r="E543" t="inlineStr">
        <is>
          <t>MARK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43480-2025</t>
        </is>
      </c>
      <c r="B544" s="1" t="n">
        <v>45911.49900462963</v>
      </c>
      <c r="C544" s="1" t="n">
        <v>46003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57128-2024</t>
        </is>
      </c>
      <c r="B545" s="1" t="n">
        <v>45629.37820601852</v>
      </c>
      <c r="C545" s="1" t="n">
        <v>46003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45268-2023</t>
        </is>
      </c>
      <c r="B546" s="1" t="n">
        <v>45191</v>
      </c>
      <c r="C546" s="1" t="n">
        <v>46003</v>
      </c>
      <c r="D546" t="inlineStr">
        <is>
          <t>VÄSTRA GÖTALANDS LÄN</t>
        </is>
      </c>
      <c r="E546" t="inlineStr">
        <is>
          <t>MARK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47973-2023</t>
        </is>
      </c>
      <c r="B547" s="1" t="n">
        <v>45204.60971064815</v>
      </c>
      <c r="C547" s="1" t="n">
        <v>46003</v>
      </c>
      <c r="D547" t="inlineStr">
        <is>
          <t>VÄSTRA GÖTALANDS LÄN</t>
        </is>
      </c>
      <c r="E547" t="inlineStr">
        <is>
          <t>MARK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36772-2023</t>
        </is>
      </c>
      <c r="B548" s="1" t="n">
        <v>45154.26027777778</v>
      </c>
      <c r="C548" s="1" t="n">
        <v>46003</v>
      </c>
      <c r="D548" t="inlineStr">
        <is>
          <t>VÄSTRA GÖTALANDS LÄN</t>
        </is>
      </c>
      <c r="E548" t="inlineStr">
        <is>
          <t>MARK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3987-2023</t>
        </is>
      </c>
      <c r="B549" s="1" t="n">
        <v>44950</v>
      </c>
      <c r="C549" s="1" t="n">
        <v>46003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6156-2022</t>
        </is>
      </c>
      <c r="B550" s="1" t="n">
        <v>44599</v>
      </c>
      <c r="C550" s="1" t="n">
        <v>46003</v>
      </c>
      <c r="D550" t="inlineStr">
        <is>
          <t>VÄSTRA GÖTALANDS LÄN</t>
        </is>
      </c>
      <c r="E550" t="inlineStr">
        <is>
          <t>MARK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43477-2025</t>
        </is>
      </c>
      <c r="B551" s="1" t="n">
        <v>45911.49023148148</v>
      </c>
      <c r="C551" s="1" t="n">
        <v>46003</v>
      </c>
      <c r="D551" t="inlineStr">
        <is>
          <t>VÄSTRA GÖTALANDS LÄN</t>
        </is>
      </c>
      <c r="E551" t="inlineStr">
        <is>
          <t>MARK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43635-2025</t>
        </is>
      </c>
      <c r="B552" s="1" t="n">
        <v>45911.71866898148</v>
      </c>
      <c r="C552" s="1" t="n">
        <v>46003</v>
      </c>
      <c r="D552" t="inlineStr">
        <is>
          <t>VÄSTRA GÖTALANDS LÄN</t>
        </is>
      </c>
      <c r="E552" t="inlineStr">
        <is>
          <t>MARK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3478-2022</t>
        </is>
      </c>
      <c r="B553" s="1" t="n">
        <v>44585.62112268519</v>
      </c>
      <c r="C553" s="1" t="n">
        <v>46003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22144-2022</t>
        </is>
      </c>
      <c r="B554" s="1" t="n">
        <v>44712.40928240741</v>
      </c>
      <c r="C554" s="1" t="n">
        <v>46003</v>
      </c>
      <c r="D554" t="inlineStr">
        <is>
          <t>VÄSTRA GÖTALANDS LÄN</t>
        </is>
      </c>
      <c r="E554" t="inlineStr">
        <is>
          <t>MARK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9256-2025</t>
        </is>
      </c>
      <c r="B555" s="1" t="n">
        <v>45714.59451388889</v>
      </c>
      <c r="C555" s="1" t="n">
        <v>46003</v>
      </c>
      <c r="D555" t="inlineStr">
        <is>
          <t>VÄSTRA GÖTALANDS LÄN</t>
        </is>
      </c>
      <c r="E555" t="inlineStr">
        <is>
          <t>MARK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56904-2023</t>
        </is>
      </c>
      <c r="B556" s="1" t="n">
        <v>45244</v>
      </c>
      <c r="C556" s="1" t="n">
        <v>46003</v>
      </c>
      <c r="D556" t="inlineStr">
        <is>
          <t>VÄSTRA GÖTALANDS LÄN</t>
        </is>
      </c>
      <c r="E556" t="inlineStr">
        <is>
          <t>MARK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36305-2024</t>
        </is>
      </c>
      <c r="B557" s="1" t="n">
        <v>45534.61297453703</v>
      </c>
      <c r="C557" s="1" t="n">
        <v>46003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43482-2025</t>
        </is>
      </c>
      <c r="B558" s="1" t="n">
        <v>45911.50141203704</v>
      </c>
      <c r="C558" s="1" t="n">
        <v>46003</v>
      </c>
      <c r="D558" t="inlineStr">
        <is>
          <t>VÄSTRA GÖTALANDS LÄN</t>
        </is>
      </c>
      <c r="E558" t="inlineStr">
        <is>
          <t>MARK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8808-2024</t>
        </is>
      </c>
      <c r="B559" s="1" t="n">
        <v>45356.6531712963</v>
      </c>
      <c r="C559" s="1" t="n">
        <v>46003</v>
      </c>
      <c r="D559" t="inlineStr">
        <is>
          <t>VÄSTRA GÖTALANDS LÄN</t>
        </is>
      </c>
      <c r="E559" t="inlineStr">
        <is>
          <t>MARK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8814-2024</t>
        </is>
      </c>
      <c r="B560" s="1" t="n">
        <v>45356.65916666666</v>
      </c>
      <c r="C560" s="1" t="n">
        <v>46003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29612-2024</t>
        </is>
      </c>
      <c r="B561" s="1" t="n">
        <v>45484.64434027778</v>
      </c>
      <c r="C561" s="1" t="n">
        <v>46003</v>
      </c>
      <c r="D561" t="inlineStr">
        <is>
          <t>VÄSTRA GÖTALANDS LÄN</t>
        </is>
      </c>
      <c r="E561" t="inlineStr">
        <is>
          <t>MARK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15176-2023</t>
        </is>
      </c>
      <c r="B562" s="1" t="n">
        <v>45016.64439814815</v>
      </c>
      <c r="C562" s="1" t="n">
        <v>46003</v>
      </c>
      <c r="D562" t="inlineStr">
        <is>
          <t>VÄSTRA GÖTALANDS LÄN</t>
        </is>
      </c>
      <c r="E562" t="inlineStr">
        <is>
          <t>MARK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6775-2024</t>
        </is>
      </c>
      <c r="B563" s="1" t="n">
        <v>45342.50168981482</v>
      </c>
      <c r="C563" s="1" t="n">
        <v>46003</v>
      </c>
      <c r="D563" t="inlineStr">
        <is>
          <t>VÄSTRA GÖTALANDS LÄN</t>
        </is>
      </c>
      <c r="E563" t="inlineStr">
        <is>
          <t>MARK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40557-2024</t>
        </is>
      </c>
      <c r="B564" s="1" t="n">
        <v>45555.65413194444</v>
      </c>
      <c r="C564" s="1" t="n">
        <v>46003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23243-2025</t>
        </is>
      </c>
      <c r="B565" s="1" t="n">
        <v>45791.5030787037</v>
      </c>
      <c r="C565" s="1" t="n">
        <v>46003</v>
      </c>
      <c r="D565" t="inlineStr">
        <is>
          <t>VÄSTRA GÖTALANDS LÄN</t>
        </is>
      </c>
      <c r="E565" t="inlineStr">
        <is>
          <t>MARK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5467-2024</t>
        </is>
      </c>
      <c r="B566" s="1" t="n">
        <v>45332.60163194445</v>
      </c>
      <c r="C566" s="1" t="n">
        <v>46003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44425-2025</t>
        </is>
      </c>
      <c r="B567" s="1" t="n">
        <v>45916.55859953703</v>
      </c>
      <c r="C567" s="1" t="n">
        <v>46003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43959-2025</t>
        </is>
      </c>
      <c r="B568" s="1" t="n">
        <v>45915.38841435185</v>
      </c>
      <c r="C568" s="1" t="n">
        <v>46003</v>
      </c>
      <c r="D568" t="inlineStr">
        <is>
          <t>VÄSTRA GÖTALANDS LÄN</t>
        </is>
      </c>
      <c r="E568" t="inlineStr">
        <is>
          <t>MARK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36287-2022</t>
        </is>
      </c>
      <c r="B569" s="1" t="n">
        <v>44803</v>
      </c>
      <c r="C569" s="1" t="n">
        <v>46003</v>
      </c>
      <c r="D569" t="inlineStr">
        <is>
          <t>VÄSTRA GÖTALANDS LÄN</t>
        </is>
      </c>
      <c r="E569" t="inlineStr">
        <is>
          <t>MARK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18581-2025</t>
        </is>
      </c>
      <c r="B570" s="1" t="n">
        <v>45763.46733796296</v>
      </c>
      <c r="C570" s="1" t="n">
        <v>46003</v>
      </c>
      <c r="D570" t="inlineStr">
        <is>
          <t>VÄSTRA GÖTALANDS LÄN</t>
        </is>
      </c>
      <c r="E570" t="inlineStr">
        <is>
          <t>MARK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45025-2025</t>
        </is>
      </c>
      <c r="B571" s="1" t="n">
        <v>45918.69027777778</v>
      </c>
      <c r="C571" s="1" t="n">
        <v>46003</v>
      </c>
      <c r="D571" t="inlineStr">
        <is>
          <t>VÄSTRA GÖTALANDS LÄN</t>
        </is>
      </c>
      <c r="E571" t="inlineStr">
        <is>
          <t>MARK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4376-2025</t>
        </is>
      </c>
      <c r="B572" s="1" t="n">
        <v>45686.38752314815</v>
      </c>
      <c r="C572" s="1" t="n">
        <v>46003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2561-2025</t>
        </is>
      </c>
      <c r="B573" s="1" t="n">
        <v>45674.65553240741</v>
      </c>
      <c r="C573" s="1" t="n">
        <v>46003</v>
      </c>
      <c r="D573" t="inlineStr">
        <is>
          <t>VÄSTRA GÖTALANDS LÄN</t>
        </is>
      </c>
      <c r="E573" t="inlineStr">
        <is>
          <t>MARK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3030-2025</t>
        </is>
      </c>
      <c r="B574" s="1" t="n">
        <v>45678.58909722222</v>
      </c>
      <c r="C574" s="1" t="n">
        <v>46003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54119-2025</t>
        </is>
      </c>
      <c r="B575" s="1" t="n">
        <v>45964.44572916667</v>
      </c>
      <c r="C575" s="1" t="n">
        <v>46003</v>
      </c>
      <c r="D575" t="inlineStr">
        <is>
          <t>VÄSTRA GÖTALANDS LÄN</t>
        </is>
      </c>
      <c r="E575" t="inlineStr">
        <is>
          <t>MARK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34641-2024</t>
        </is>
      </c>
      <c r="B576" s="1" t="n">
        <v>45526.47351851852</v>
      </c>
      <c r="C576" s="1" t="n">
        <v>46003</v>
      </c>
      <c r="D576" t="inlineStr">
        <is>
          <t>VÄSTRA GÖTALANDS LÄN</t>
        </is>
      </c>
      <c r="E576" t="inlineStr">
        <is>
          <t>MARK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26606-2021</t>
        </is>
      </c>
      <c r="B577" s="1" t="n">
        <v>44348.63244212963</v>
      </c>
      <c r="C577" s="1" t="n">
        <v>46003</v>
      </c>
      <c r="D577" t="inlineStr">
        <is>
          <t>VÄSTRA GÖTALANDS LÄN</t>
        </is>
      </c>
      <c r="E577" t="inlineStr">
        <is>
          <t>MARK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11174-2025</t>
        </is>
      </c>
      <c r="B578" s="1" t="n">
        <v>45724.6228125</v>
      </c>
      <c r="C578" s="1" t="n">
        <v>46003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23480-2025</t>
        </is>
      </c>
      <c r="B579" s="1" t="n">
        <v>45792.45846064815</v>
      </c>
      <c r="C579" s="1" t="n">
        <v>46003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23486-2025</t>
        </is>
      </c>
      <c r="B580" s="1" t="n">
        <v>45792.46371527778</v>
      </c>
      <c r="C580" s="1" t="n">
        <v>46003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23494-2025</t>
        </is>
      </c>
      <c r="B581" s="1" t="n">
        <v>45792.46954861111</v>
      </c>
      <c r="C581" s="1" t="n">
        <v>46003</v>
      </c>
      <c r="D581" t="inlineStr">
        <is>
          <t>VÄSTRA GÖTALANDS LÄN</t>
        </is>
      </c>
      <c r="E581" t="inlineStr">
        <is>
          <t>MARK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47448-2023</t>
        </is>
      </c>
      <c r="B582" s="1" t="n">
        <v>45202</v>
      </c>
      <c r="C582" s="1" t="n">
        <v>46003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10674-2025</t>
        </is>
      </c>
      <c r="B583" s="1" t="n">
        <v>45721.86008101852</v>
      </c>
      <c r="C583" s="1" t="n">
        <v>46003</v>
      </c>
      <c r="D583" t="inlineStr">
        <is>
          <t>VÄSTRA GÖTALANDS LÄN</t>
        </is>
      </c>
      <c r="E583" t="inlineStr">
        <is>
          <t>MARK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23536-2025</t>
        </is>
      </c>
      <c r="B584" s="1" t="n">
        <v>45792.54550925926</v>
      </c>
      <c r="C584" s="1" t="n">
        <v>46003</v>
      </c>
      <c r="D584" t="inlineStr">
        <is>
          <t>VÄSTRA GÖTALANDS LÄN</t>
        </is>
      </c>
      <c r="E584" t="inlineStr">
        <is>
          <t>MARK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23865-2024</t>
        </is>
      </c>
      <c r="B585" s="1" t="n">
        <v>45455</v>
      </c>
      <c r="C585" s="1" t="n">
        <v>46003</v>
      </c>
      <c r="D585" t="inlineStr">
        <is>
          <t>VÄSTRA GÖTALANDS LÄN</t>
        </is>
      </c>
      <c r="E585" t="inlineStr">
        <is>
          <t>MARK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15667-2023</t>
        </is>
      </c>
      <c r="B586" s="1" t="n">
        <v>45021</v>
      </c>
      <c r="C586" s="1" t="n">
        <v>46003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45986-2025</t>
        </is>
      </c>
      <c r="B587" s="1" t="n">
        <v>45924.38350694445</v>
      </c>
      <c r="C587" s="1" t="n">
        <v>46003</v>
      </c>
      <c r="D587" t="inlineStr">
        <is>
          <t>VÄSTRA GÖTALANDS LÄN</t>
        </is>
      </c>
      <c r="E587" t="inlineStr">
        <is>
          <t>MARK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46056-2025</t>
        </is>
      </c>
      <c r="B588" s="1" t="n">
        <v>45924.46421296296</v>
      </c>
      <c r="C588" s="1" t="n">
        <v>46003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53022-2024</t>
        </is>
      </c>
      <c r="B589" s="1" t="n">
        <v>45611.41010416667</v>
      </c>
      <c r="C589" s="1" t="n">
        <v>46003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53026-2024</t>
        </is>
      </c>
      <c r="B590" s="1" t="n">
        <v>45611.41813657407</v>
      </c>
      <c r="C590" s="1" t="n">
        <v>46003</v>
      </c>
      <c r="D590" t="inlineStr">
        <is>
          <t>VÄSTRA GÖTALANDS LÄN</t>
        </is>
      </c>
      <c r="E590" t="inlineStr">
        <is>
          <t>MARK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6770-2024</t>
        </is>
      </c>
      <c r="B591" s="1" t="n">
        <v>45342.49490740741</v>
      </c>
      <c r="C591" s="1" t="n">
        <v>46003</v>
      </c>
      <c r="D591" t="inlineStr">
        <is>
          <t>VÄSTRA GÖTALANDS LÄN</t>
        </is>
      </c>
      <c r="E591" t="inlineStr">
        <is>
          <t>MARK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7472-2023</t>
        </is>
      </c>
      <c r="B592" s="1" t="n">
        <v>44971.65195601852</v>
      </c>
      <c r="C592" s="1" t="n">
        <v>46003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46036-2025</t>
        </is>
      </c>
      <c r="B593" s="1" t="n">
        <v>45924.44726851852</v>
      </c>
      <c r="C593" s="1" t="n">
        <v>46003</v>
      </c>
      <c r="D593" t="inlineStr">
        <is>
          <t>VÄSTRA GÖTALANDS LÄN</t>
        </is>
      </c>
      <c r="E593" t="inlineStr">
        <is>
          <t>MARK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45982-2025</t>
        </is>
      </c>
      <c r="B594" s="1" t="n">
        <v>45924.37861111111</v>
      </c>
      <c r="C594" s="1" t="n">
        <v>46003</v>
      </c>
      <c r="D594" t="inlineStr">
        <is>
          <t>VÄSTRA GÖTALANDS LÄN</t>
        </is>
      </c>
      <c r="E594" t="inlineStr">
        <is>
          <t>MARK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49282-2023</t>
        </is>
      </c>
      <c r="B595" s="1" t="n">
        <v>45210.70979166667</v>
      </c>
      <c r="C595" s="1" t="n">
        <v>46003</v>
      </c>
      <c r="D595" t="inlineStr">
        <is>
          <t>VÄSTRA GÖTALANDS LÄN</t>
        </is>
      </c>
      <c r="E595" t="inlineStr">
        <is>
          <t>MARK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45888-2025</t>
        </is>
      </c>
      <c r="B596" s="1" t="n">
        <v>45923.66642361111</v>
      </c>
      <c r="C596" s="1" t="n">
        <v>46003</v>
      </c>
      <c r="D596" t="inlineStr">
        <is>
          <t>VÄSTRA GÖTALANDS LÄN</t>
        </is>
      </c>
      <c r="E596" t="inlineStr">
        <is>
          <t>MARK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45897-2025</t>
        </is>
      </c>
      <c r="B597" s="1" t="n">
        <v>45923.67934027778</v>
      </c>
      <c r="C597" s="1" t="n">
        <v>46003</v>
      </c>
      <c r="D597" t="inlineStr">
        <is>
          <t>VÄSTRA GÖTALANDS LÄN</t>
        </is>
      </c>
      <c r="E597" t="inlineStr">
        <is>
          <t>MARK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38780-2022</t>
        </is>
      </c>
      <c r="B598" s="1" t="n">
        <v>44813</v>
      </c>
      <c r="C598" s="1" t="n">
        <v>46003</v>
      </c>
      <c r="D598" t="inlineStr">
        <is>
          <t>VÄSTRA GÖTALANDS LÄN</t>
        </is>
      </c>
      <c r="E598" t="inlineStr">
        <is>
          <t>MARK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38799-2022</t>
        </is>
      </c>
      <c r="B599" s="1" t="n">
        <v>44813</v>
      </c>
      <c r="C599" s="1" t="n">
        <v>46003</v>
      </c>
      <c r="D599" t="inlineStr">
        <is>
          <t>VÄSTRA GÖTALANDS LÄN</t>
        </is>
      </c>
      <c r="E599" t="inlineStr">
        <is>
          <t>MARK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54576-2025</t>
        </is>
      </c>
      <c r="B600" s="1" t="n">
        <v>45965.68145833333</v>
      </c>
      <c r="C600" s="1" t="n">
        <v>46003</v>
      </c>
      <c r="D600" t="inlineStr">
        <is>
          <t>VÄSTRA GÖTALANDS LÄN</t>
        </is>
      </c>
      <c r="E600" t="inlineStr">
        <is>
          <t>MARK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54407-2025</t>
        </is>
      </c>
      <c r="B601" s="1" t="n">
        <v>45965.4577662037</v>
      </c>
      <c r="C601" s="1" t="n">
        <v>46003</v>
      </c>
      <c r="D601" t="inlineStr">
        <is>
          <t>VÄSTRA GÖTALANDS LÄN</t>
        </is>
      </c>
      <c r="E601" t="inlineStr">
        <is>
          <t>MARK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3430-2025</t>
        </is>
      </c>
      <c r="B602" s="1" t="n">
        <v>45680.42930555555</v>
      </c>
      <c r="C602" s="1" t="n">
        <v>46003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46511-2025</t>
        </is>
      </c>
      <c r="B603" s="1" t="n">
        <v>45925</v>
      </c>
      <c r="C603" s="1" t="n">
        <v>46003</v>
      </c>
      <c r="D603" t="inlineStr">
        <is>
          <t>VÄSTRA GÖTALANDS LÄN</t>
        </is>
      </c>
      <c r="E603" t="inlineStr">
        <is>
          <t>MARK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46512-2025</t>
        </is>
      </c>
      <c r="B604" s="1" t="n">
        <v>45925</v>
      </c>
      <c r="C604" s="1" t="n">
        <v>46003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24694-2025</t>
        </is>
      </c>
      <c r="B605" s="1" t="n">
        <v>45798.68462962963</v>
      </c>
      <c r="C605" s="1" t="n">
        <v>46003</v>
      </c>
      <c r="D605" t="inlineStr">
        <is>
          <t>VÄSTRA GÖTALANDS LÄN</t>
        </is>
      </c>
      <c r="E605" t="inlineStr">
        <is>
          <t>MARK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32961-2025</t>
        </is>
      </c>
      <c r="B606" s="1" t="n">
        <v>45839.71287037037</v>
      </c>
      <c r="C606" s="1" t="n">
        <v>46003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46459-2025</t>
        </is>
      </c>
      <c r="B607" s="1" t="n">
        <v>45925.66380787037</v>
      </c>
      <c r="C607" s="1" t="n">
        <v>46003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55110-2025</t>
        </is>
      </c>
      <c r="B608" s="1" t="n">
        <v>45968.37740740741</v>
      </c>
      <c r="C608" s="1" t="n">
        <v>46003</v>
      </c>
      <c r="D608" t="inlineStr">
        <is>
          <t>VÄSTRA GÖTALANDS LÄN</t>
        </is>
      </c>
      <c r="E608" t="inlineStr">
        <is>
          <t>MARK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46284-2025</t>
        </is>
      </c>
      <c r="B609" s="1" t="n">
        <v>45925.38208333333</v>
      </c>
      <c r="C609" s="1" t="n">
        <v>46003</v>
      </c>
      <c r="D609" t="inlineStr">
        <is>
          <t>VÄSTRA GÖTALANDS LÄN</t>
        </is>
      </c>
      <c r="E609" t="inlineStr">
        <is>
          <t>MARK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46290-2025</t>
        </is>
      </c>
      <c r="B610" s="1" t="n">
        <v>45925.38766203704</v>
      </c>
      <c r="C610" s="1" t="n">
        <v>46003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46294-2025</t>
        </is>
      </c>
      <c r="B611" s="1" t="n">
        <v>45925.39627314815</v>
      </c>
      <c r="C611" s="1" t="n">
        <v>46003</v>
      </c>
      <c r="D611" t="inlineStr">
        <is>
          <t>VÄSTRA GÖTALANDS LÄN</t>
        </is>
      </c>
      <c r="E611" t="inlineStr">
        <is>
          <t>MARK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24771-2025</t>
        </is>
      </c>
      <c r="B612" s="1" t="n">
        <v>45799.40148148148</v>
      </c>
      <c r="C612" s="1" t="n">
        <v>46003</v>
      </c>
      <c r="D612" t="inlineStr">
        <is>
          <t>VÄSTRA GÖTALANDS LÄN</t>
        </is>
      </c>
      <c r="E612" t="inlineStr">
        <is>
          <t>MARK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24781-2025</t>
        </is>
      </c>
      <c r="B613" s="1" t="n">
        <v>45799.41793981481</v>
      </c>
      <c r="C613" s="1" t="n">
        <v>46003</v>
      </c>
      <c r="D613" t="inlineStr">
        <is>
          <t>VÄSTRA GÖTALANDS LÄN</t>
        </is>
      </c>
      <c r="E613" t="inlineStr">
        <is>
          <t>MARK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25672-2025</t>
        </is>
      </c>
      <c r="B614" s="1" t="n">
        <v>45803.63070601852</v>
      </c>
      <c r="C614" s="1" t="n">
        <v>46003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26148-2025</t>
        </is>
      </c>
      <c r="B615" s="1" t="n">
        <v>45805.43145833333</v>
      </c>
      <c r="C615" s="1" t="n">
        <v>46003</v>
      </c>
      <c r="D615" t="inlineStr">
        <is>
          <t>VÄSTRA GÖTALANDS LÄN</t>
        </is>
      </c>
      <c r="E615" t="inlineStr">
        <is>
          <t>MARK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26255-2025</t>
        </is>
      </c>
      <c r="B616" s="1" t="n">
        <v>45805.58092592593</v>
      </c>
      <c r="C616" s="1" t="n">
        <v>46003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47830-2025</t>
        </is>
      </c>
      <c r="B617" s="1" t="n">
        <v>45931</v>
      </c>
      <c r="C617" s="1" t="n">
        <v>46003</v>
      </c>
      <c r="D617" t="inlineStr">
        <is>
          <t>VÄSTRA GÖTALANDS LÄN</t>
        </is>
      </c>
      <c r="E617" t="inlineStr">
        <is>
          <t>MARK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53032-2024</t>
        </is>
      </c>
      <c r="B618" s="1" t="n">
        <v>45611.4250462963</v>
      </c>
      <c r="C618" s="1" t="n">
        <v>46003</v>
      </c>
      <c r="D618" t="inlineStr">
        <is>
          <t>VÄSTRA GÖTALANDS LÄN</t>
        </is>
      </c>
      <c r="E618" t="inlineStr">
        <is>
          <t>MARK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55856-2025</t>
        </is>
      </c>
      <c r="B619" s="1" t="n">
        <v>45973.33297453704</v>
      </c>
      <c r="C619" s="1" t="n">
        <v>46003</v>
      </c>
      <c r="D619" t="inlineStr">
        <is>
          <t>VÄSTRA GÖTALANDS LÄN</t>
        </is>
      </c>
      <c r="E619" t="inlineStr">
        <is>
          <t>MARK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26515-2025</t>
        </is>
      </c>
      <c r="B620" s="1" t="n">
        <v>45807.55388888889</v>
      </c>
      <c r="C620" s="1" t="n">
        <v>46003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27138-2025</t>
        </is>
      </c>
      <c r="B621" s="1" t="n">
        <v>45811.9821875</v>
      </c>
      <c r="C621" s="1" t="n">
        <v>46003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56796-2025</t>
        </is>
      </c>
      <c r="B622" s="1" t="n">
        <v>45978.43127314815</v>
      </c>
      <c r="C622" s="1" t="n">
        <v>46003</v>
      </c>
      <c r="D622" t="inlineStr">
        <is>
          <t>VÄSTRA GÖTALANDS LÄN</t>
        </is>
      </c>
      <c r="E622" t="inlineStr">
        <is>
          <t>MARK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56858-2025</t>
        </is>
      </c>
      <c r="B623" s="1" t="n">
        <v>45978.50188657407</v>
      </c>
      <c r="C623" s="1" t="n">
        <v>46003</v>
      </c>
      <c r="D623" t="inlineStr">
        <is>
          <t>VÄSTRA GÖTALANDS LÄN</t>
        </is>
      </c>
      <c r="E623" t="inlineStr">
        <is>
          <t>MARK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27683-2025</t>
        </is>
      </c>
      <c r="B624" s="1" t="n">
        <v>45813.64798611111</v>
      </c>
      <c r="C624" s="1" t="n">
        <v>46003</v>
      </c>
      <c r="D624" t="inlineStr">
        <is>
          <t>VÄSTRA GÖTALANDS LÄN</t>
        </is>
      </c>
      <c r="E624" t="inlineStr">
        <is>
          <t>MARK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18337-2022</t>
        </is>
      </c>
      <c r="B625" s="1" t="n">
        <v>44685.63946759259</v>
      </c>
      <c r="C625" s="1" t="n">
        <v>46003</v>
      </c>
      <c r="D625" t="inlineStr">
        <is>
          <t>VÄSTRA GÖTALANDS LÄN</t>
        </is>
      </c>
      <c r="E625" t="inlineStr">
        <is>
          <t>MARK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16001-2025</t>
        </is>
      </c>
      <c r="B626" s="1" t="n">
        <v>45749.58880787037</v>
      </c>
      <c r="C626" s="1" t="n">
        <v>46003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14692-2024</t>
        </is>
      </c>
      <c r="B627" s="1" t="n">
        <v>45397</v>
      </c>
      <c r="C627" s="1" t="n">
        <v>46003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28178-2025</t>
        </is>
      </c>
      <c r="B628" s="1" t="n">
        <v>45818.39394675926</v>
      </c>
      <c r="C628" s="1" t="n">
        <v>46003</v>
      </c>
      <c r="D628" t="inlineStr">
        <is>
          <t>VÄSTRA GÖTALANDS LÄN</t>
        </is>
      </c>
      <c r="E628" t="inlineStr">
        <is>
          <t>MARK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28020-2025</t>
        </is>
      </c>
      <c r="B629" s="1" t="n">
        <v>45817.61564814814</v>
      </c>
      <c r="C629" s="1" t="n">
        <v>46003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16354-2025</t>
        </is>
      </c>
      <c r="B630" s="1" t="n">
        <v>45751</v>
      </c>
      <c r="C630" s="1" t="n">
        <v>46003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44573-2024</t>
        </is>
      </c>
      <c r="B631" s="1" t="n">
        <v>45574</v>
      </c>
      <c r="C631" s="1" t="n">
        <v>46003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48938-2025</t>
        </is>
      </c>
      <c r="B632" s="1" t="n">
        <v>45937</v>
      </c>
      <c r="C632" s="1" t="n">
        <v>46003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48912-2025</t>
        </is>
      </c>
      <c r="B633" s="1" t="n">
        <v>45937.4890625</v>
      </c>
      <c r="C633" s="1" t="n">
        <v>46003</v>
      </c>
      <c r="D633" t="inlineStr">
        <is>
          <t>VÄSTRA GÖTALANDS LÄN</t>
        </is>
      </c>
      <c r="E633" t="inlineStr">
        <is>
          <t>MARK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57418-2025</t>
        </is>
      </c>
      <c r="B634" s="1" t="n">
        <v>45980.45340277778</v>
      </c>
      <c r="C634" s="1" t="n">
        <v>46003</v>
      </c>
      <c r="D634" t="inlineStr">
        <is>
          <t>VÄSTRA GÖTALANDS LÄN</t>
        </is>
      </c>
      <c r="E634" t="inlineStr">
        <is>
          <t>MARK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48759-2025</t>
        </is>
      </c>
      <c r="B635" s="1" t="n">
        <v>45936.76261574074</v>
      </c>
      <c r="C635" s="1" t="n">
        <v>46003</v>
      </c>
      <c r="D635" t="inlineStr">
        <is>
          <t>VÄSTRA GÖTALANDS LÄN</t>
        </is>
      </c>
      <c r="E635" t="inlineStr">
        <is>
          <t>MARK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28640-2025</t>
        </is>
      </c>
      <c r="B636" s="1" t="n">
        <v>45819.63666666667</v>
      </c>
      <c r="C636" s="1" t="n">
        <v>46003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48952-2025</t>
        </is>
      </c>
      <c r="B637" s="1" t="n">
        <v>45937.54668981482</v>
      </c>
      <c r="C637" s="1" t="n">
        <v>46003</v>
      </c>
      <c r="D637" t="inlineStr">
        <is>
          <t>VÄSTRA GÖTALANDS LÄN</t>
        </is>
      </c>
      <c r="E637" t="inlineStr">
        <is>
          <t>MARK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28432-2025</t>
        </is>
      </c>
      <c r="B638" s="1" t="n">
        <v>45819.38085648148</v>
      </c>
      <c r="C638" s="1" t="n">
        <v>46003</v>
      </c>
      <c r="D638" t="inlineStr">
        <is>
          <t>VÄSTRA GÖTALANDS LÄN</t>
        </is>
      </c>
      <c r="E638" t="inlineStr">
        <is>
          <t>MARK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57252-2025</t>
        </is>
      </c>
      <c r="B639" s="1" t="n">
        <v>45979.64233796296</v>
      </c>
      <c r="C639" s="1" t="n">
        <v>46003</v>
      </c>
      <c r="D639" t="inlineStr">
        <is>
          <t>VÄSTRA GÖTALANDS LÄN</t>
        </is>
      </c>
      <c r="E639" t="inlineStr">
        <is>
          <t>MARK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20415-2025</t>
        </is>
      </c>
      <c r="B640" s="1" t="n">
        <v>45775.46172453704</v>
      </c>
      <c r="C640" s="1" t="n">
        <v>46003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49017-2025</t>
        </is>
      </c>
      <c r="B641" s="1" t="n">
        <v>45937.61175925926</v>
      </c>
      <c r="C641" s="1" t="n">
        <v>46003</v>
      </c>
      <c r="D641" t="inlineStr">
        <is>
          <t>VÄSTRA GÖTALANDS LÄN</t>
        </is>
      </c>
      <c r="E641" t="inlineStr">
        <is>
          <t>MARK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57528-2025</t>
        </is>
      </c>
      <c r="B642" s="1" t="n">
        <v>45980.63429398148</v>
      </c>
      <c r="C642" s="1" t="n">
        <v>46003</v>
      </c>
      <c r="D642" t="inlineStr">
        <is>
          <t>VÄSTRA GÖTALANDS LÄN</t>
        </is>
      </c>
      <c r="E642" t="inlineStr">
        <is>
          <t>MARK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48909-2025</t>
        </is>
      </c>
      <c r="B643" s="1" t="n">
        <v>45937</v>
      </c>
      <c r="C643" s="1" t="n">
        <v>46003</v>
      </c>
      <c r="D643" t="inlineStr">
        <is>
          <t>VÄSTRA GÖTALANDS LÄN</t>
        </is>
      </c>
      <c r="E643" t="inlineStr">
        <is>
          <t>MARK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29991-2025</t>
        </is>
      </c>
      <c r="B644" s="1" t="n">
        <v>45826.50349537037</v>
      </c>
      <c r="C644" s="1" t="n">
        <v>46003</v>
      </c>
      <c r="D644" t="inlineStr">
        <is>
          <t>VÄSTRA GÖTALANDS LÄN</t>
        </is>
      </c>
      <c r="E644" t="inlineStr">
        <is>
          <t>MARK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30122-2025</t>
        </is>
      </c>
      <c r="B645" s="1" t="n">
        <v>45826</v>
      </c>
      <c r="C645" s="1" t="n">
        <v>46003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29529-2025</t>
        </is>
      </c>
      <c r="B646" s="1" t="n">
        <v>45825.3437037037</v>
      </c>
      <c r="C646" s="1" t="n">
        <v>46003</v>
      </c>
      <c r="D646" t="inlineStr">
        <is>
          <t>VÄSTRA GÖTALANDS LÄN</t>
        </is>
      </c>
      <c r="E646" t="inlineStr">
        <is>
          <t>MARK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57644-2025</t>
        </is>
      </c>
      <c r="B647" s="1" t="n">
        <v>45981.37033564815</v>
      </c>
      <c r="C647" s="1" t="n">
        <v>46003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57985-2025</t>
        </is>
      </c>
      <c r="B648" s="1" t="n">
        <v>45982.41637731482</v>
      </c>
      <c r="C648" s="1" t="n">
        <v>46003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30009-2025</t>
        </is>
      </c>
      <c r="B649" s="1" t="n">
        <v>45826.53834490741</v>
      </c>
      <c r="C649" s="1" t="n">
        <v>46003</v>
      </c>
      <c r="D649" t="inlineStr">
        <is>
          <t>VÄSTRA GÖTALANDS LÄN</t>
        </is>
      </c>
      <c r="E649" t="inlineStr">
        <is>
          <t>MARK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49579-2025</t>
        </is>
      </c>
      <c r="B650" s="1" t="n">
        <v>45939.49269675926</v>
      </c>
      <c r="C650" s="1" t="n">
        <v>46003</v>
      </c>
      <c r="D650" t="inlineStr">
        <is>
          <t>VÄSTRA GÖTALANDS LÄN</t>
        </is>
      </c>
      <c r="E650" t="inlineStr">
        <is>
          <t>MARK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49816-2025</t>
        </is>
      </c>
      <c r="B651" s="1" t="n">
        <v>45940.43407407407</v>
      </c>
      <c r="C651" s="1" t="n">
        <v>46003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57993-2025</t>
        </is>
      </c>
      <c r="B652" s="1" t="n">
        <v>45982.42884259259</v>
      </c>
      <c r="C652" s="1" t="n">
        <v>46003</v>
      </c>
      <c r="D652" t="inlineStr">
        <is>
          <t>VÄSTRA GÖTALANDS LÄN</t>
        </is>
      </c>
      <c r="E652" t="inlineStr">
        <is>
          <t>MARK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14128-2025</t>
        </is>
      </c>
      <c r="B653" s="1" t="n">
        <v>45740.47094907407</v>
      </c>
      <c r="C653" s="1" t="n">
        <v>46003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10657-2025</t>
        </is>
      </c>
      <c r="B654" s="1" t="n">
        <v>45721.70053240741</v>
      </c>
      <c r="C654" s="1" t="n">
        <v>46003</v>
      </c>
      <c r="D654" t="inlineStr">
        <is>
          <t>VÄSTRA GÖTALANDS LÄN</t>
        </is>
      </c>
      <c r="E654" t="inlineStr">
        <is>
          <t>MARK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13923-2025</t>
        </is>
      </c>
      <c r="B655" s="1" t="n">
        <v>45737.66050925926</v>
      </c>
      <c r="C655" s="1" t="n">
        <v>46003</v>
      </c>
      <c r="D655" t="inlineStr">
        <is>
          <t>VÄSTRA GÖTALANDS LÄN</t>
        </is>
      </c>
      <c r="E655" t="inlineStr">
        <is>
          <t>MARK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14546-2025</t>
        </is>
      </c>
      <c r="B656" s="1" t="n">
        <v>45741</v>
      </c>
      <c r="C656" s="1" t="n">
        <v>46003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14902-2025</t>
        </is>
      </c>
      <c r="B657" s="1" t="n">
        <v>45743.48855324074</v>
      </c>
      <c r="C657" s="1" t="n">
        <v>46003</v>
      </c>
      <c r="D657" t="inlineStr">
        <is>
          <t>VÄSTRA GÖTALANDS LÄN</t>
        </is>
      </c>
      <c r="E657" t="inlineStr">
        <is>
          <t>MARK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11928-2025</t>
        </is>
      </c>
      <c r="B658" s="1" t="n">
        <v>45728.51762731482</v>
      </c>
      <c r="C658" s="1" t="n">
        <v>46003</v>
      </c>
      <c r="D658" t="inlineStr">
        <is>
          <t>VÄSTRA GÖTALANDS LÄN</t>
        </is>
      </c>
      <c r="E658" t="inlineStr">
        <is>
          <t>MARK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14996-2025</t>
        </is>
      </c>
      <c r="B659" s="1" t="n">
        <v>45743.61261574074</v>
      </c>
      <c r="C659" s="1" t="n">
        <v>46003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14999-2025</t>
        </is>
      </c>
      <c r="B660" s="1" t="n">
        <v>45743.61517361111</v>
      </c>
      <c r="C660" s="1" t="n">
        <v>46003</v>
      </c>
      <c r="D660" t="inlineStr">
        <is>
          <t>VÄSTRA GÖTALANDS LÄN</t>
        </is>
      </c>
      <c r="E660" t="inlineStr">
        <is>
          <t>MARK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9890-2025</t>
        </is>
      </c>
      <c r="B661" s="1" t="n">
        <v>45716.70203703704</v>
      </c>
      <c r="C661" s="1" t="n">
        <v>46003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15023-2025</t>
        </is>
      </c>
      <c r="B662" s="1" t="n">
        <v>45743.65465277778</v>
      </c>
      <c r="C662" s="1" t="n">
        <v>46003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21884-2025</t>
        </is>
      </c>
      <c r="B663" s="1" t="n">
        <v>45784</v>
      </c>
      <c r="C663" s="1" t="n">
        <v>46003</v>
      </c>
      <c r="D663" t="inlineStr">
        <is>
          <t>VÄSTRA GÖTALANDS LÄN</t>
        </is>
      </c>
      <c r="E663" t="inlineStr">
        <is>
          <t>MARK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11480-2025</t>
        </is>
      </c>
      <c r="B664" s="1" t="n">
        <v>45726.67855324074</v>
      </c>
      <c r="C664" s="1" t="n">
        <v>46003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14977-2025</t>
        </is>
      </c>
      <c r="B665" s="1" t="n">
        <v>45743.59481481482</v>
      </c>
      <c r="C665" s="1" t="n">
        <v>46003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14688-2025</t>
        </is>
      </c>
      <c r="B666" s="1" t="n">
        <v>45742.57935185185</v>
      </c>
      <c r="C666" s="1" t="n">
        <v>46003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49814-2025</t>
        </is>
      </c>
      <c r="B667" s="1" t="n">
        <v>45940.43130787037</v>
      </c>
      <c r="C667" s="1" t="n">
        <v>46003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13927-2025</t>
        </is>
      </c>
      <c r="B668" s="1" t="n">
        <v>45737.66302083333</v>
      </c>
      <c r="C668" s="1" t="n">
        <v>46003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30797-2025</t>
        </is>
      </c>
      <c r="B669" s="1" t="n">
        <v>45831.64825231482</v>
      </c>
      <c r="C669" s="1" t="n">
        <v>46003</v>
      </c>
      <c r="D669" t="inlineStr">
        <is>
          <t>VÄSTRA GÖTALANDS LÄN</t>
        </is>
      </c>
      <c r="E669" t="inlineStr">
        <is>
          <t>MARK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50222-2025</t>
        </is>
      </c>
      <c r="B670" s="1" t="n">
        <v>45943.6872337963</v>
      </c>
      <c r="C670" s="1" t="n">
        <v>46003</v>
      </c>
      <c r="D670" t="inlineStr">
        <is>
          <t>VÄSTRA GÖTALANDS LÄN</t>
        </is>
      </c>
      <c r="E670" t="inlineStr">
        <is>
          <t>MARK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30933-2025</t>
        </is>
      </c>
      <c r="B671" s="1" t="n">
        <v>45832.403125</v>
      </c>
      <c r="C671" s="1" t="n">
        <v>46003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50240-2025</t>
        </is>
      </c>
      <c r="B672" s="1" t="n">
        <v>45943.84081018518</v>
      </c>
      <c r="C672" s="1" t="n">
        <v>46003</v>
      </c>
      <c r="D672" t="inlineStr">
        <is>
          <t>VÄSTRA GÖTALANDS LÄN</t>
        </is>
      </c>
      <c r="E672" t="inlineStr">
        <is>
          <t>MARK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45351-2025</t>
        </is>
      </c>
      <c r="B673" s="1" t="n">
        <v>45922.36165509259</v>
      </c>
      <c r="C673" s="1" t="n">
        <v>46003</v>
      </c>
      <c r="D673" t="inlineStr">
        <is>
          <t>VÄSTRA GÖTALANDS LÄN</t>
        </is>
      </c>
      <c r="E673" t="inlineStr">
        <is>
          <t>MARK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50096-2025</t>
        </is>
      </c>
      <c r="B674" s="1" t="n">
        <v>45943.50023148148</v>
      </c>
      <c r="C674" s="1" t="n">
        <v>46003</v>
      </c>
      <c r="D674" t="inlineStr">
        <is>
          <t>VÄSTRA GÖTALANDS LÄN</t>
        </is>
      </c>
      <c r="E674" t="inlineStr">
        <is>
          <t>MARK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29872-2025</t>
        </is>
      </c>
      <c r="B675" s="1" t="n">
        <v>45826.35928240741</v>
      </c>
      <c r="C675" s="1" t="n">
        <v>46003</v>
      </c>
      <c r="D675" t="inlineStr">
        <is>
          <t>VÄSTRA GÖTALANDS LÄN</t>
        </is>
      </c>
      <c r="E675" t="inlineStr">
        <is>
          <t>MARK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31457-2025</t>
        </is>
      </c>
      <c r="B676" s="1" t="n">
        <v>45833.54055555556</v>
      </c>
      <c r="C676" s="1" t="n">
        <v>46003</v>
      </c>
      <c r="D676" t="inlineStr">
        <is>
          <t>VÄSTRA GÖTALANDS LÄN</t>
        </is>
      </c>
      <c r="E676" t="inlineStr">
        <is>
          <t>MARK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31856-2025</t>
        </is>
      </c>
      <c r="B677" s="1" t="n">
        <v>45834.62601851852</v>
      </c>
      <c r="C677" s="1" t="n">
        <v>46003</v>
      </c>
      <c r="D677" t="inlineStr">
        <is>
          <t>VÄSTRA GÖTALANDS LÄN</t>
        </is>
      </c>
      <c r="E677" t="inlineStr">
        <is>
          <t>MARK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31454-2025</t>
        </is>
      </c>
      <c r="B678" s="1" t="n">
        <v>45833.53537037037</v>
      </c>
      <c r="C678" s="1" t="n">
        <v>46003</v>
      </c>
      <c r="D678" t="inlineStr">
        <is>
          <t>VÄSTRA GÖTALANDS LÄN</t>
        </is>
      </c>
      <c r="E678" t="inlineStr">
        <is>
          <t>MARK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45353-2025</t>
        </is>
      </c>
      <c r="B679" s="1" t="n">
        <v>45922.3640625</v>
      </c>
      <c r="C679" s="1" t="n">
        <v>46003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31403-2025</t>
        </is>
      </c>
      <c r="B680" s="1" t="n">
        <v>45833</v>
      </c>
      <c r="C680" s="1" t="n">
        <v>46003</v>
      </c>
      <c r="D680" t="inlineStr">
        <is>
          <t>VÄSTRA GÖTALANDS LÄN</t>
        </is>
      </c>
      <c r="E680" t="inlineStr">
        <is>
          <t>MARK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32553-2025</t>
        </is>
      </c>
      <c r="B681" s="1" t="n">
        <v>45838.55416666667</v>
      </c>
      <c r="C681" s="1" t="n">
        <v>46003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32649-2025</t>
        </is>
      </c>
      <c r="B682" s="1" t="n">
        <v>45838.67418981482</v>
      </c>
      <c r="C682" s="1" t="n">
        <v>46003</v>
      </c>
      <c r="D682" t="inlineStr">
        <is>
          <t>VÄSTRA GÖTALANDS LÄN</t>
        </is>
      </c>
      <c r="E682" t="inlineStr">
        <is>
          <t>MARK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32469-2025</t>
        </is>
      </c>
      <c r="B683" s="1" t="n">
        <v>45838.42524305556</v>
      </c>
      <c r="C683" s="1" t="n">
        <v>46003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57427-2025</t>
        </is>
      </c>
      <c r="B684" s="1" t="n">
        <v>45980.4665625</v>
      </c>
      <c r="C684" s="1" t="n">
        <v>46003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32878-2025</t>
        </is>
      </c>
      <c r="B685" s="1" t="n">
        <v>45839</v>
      </c>
      <c r="C685" s="1" t="n">
        <v>46003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32885-2025</t>
        </is>
      </c>
      <c r="B686" s="1" t="n">
        <v>45839.59840277778</v>
      </c>
      <c r="C686" s="1" t="n">
        <v>46003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32929-2025</t>
        </is>
      </c>
      <c r="B687" s="1" t="n">
        <v>45839.66587962963</v>
      </c>
      <c r="C687" s="1" t="n">
        <v>46003</v>
      </c>
      <c r="D687" t="inlineStr">
        <is>
          <t>VÄSTRA GÖTALANDS LÄN</t>
        </is>
      </c>
      <c r="E687" t="inlineStr">
        <is>
          <t>MARK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33270-2025</t>
        </is>
      </c>
      <c r="B688" s="1" t="n">
        <v>45840.68247685185</v>
      </c>
      <c r="C688" s="1" t="n">
        <v>46003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33330-2025</t>
        </is>
      </c>
      <c r="B689" s="1" t="n">
        <v>45841.35094907408</v>
      </c>
      <c r="C689" s="1" t="n">
        <v>46003</v>
      </c>
      <c r="D689" t="inlineStr">
        <is>
          <t>VÄSTRA GÖTALANDS LÄN</t>
        </is>
      </c>
      <c r="E689" t="inlineStr">
        <is>
          <t>MARK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33352-2025</t>
        </is>
      </c>
      <c r="B690" s="1" t="n">
        <v>45841.37438657408</v>
      </c>
      <c r="C690" s="1" t="n">
        <v>46003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33356-2025</t>
        </is>
      </c>
      <c r="B691" s="1" t="n">
        <v>45841.37721064815</v>
      </c>
      <c r="C691" s="1" t="n">
        <v>46003</v>
      </c>
      <c r="D691" t="inlineStr">
        <is>
          <t>VÄSTRA GÖTALANDS LÄN</t>
        </is>
      </c>
      <c r="E691" t="inlineStr">
        <is>
          <t>MARK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33365-2025</t>
        </is>
      </c>
      <c r="B692" s="1" t="n">
        <v>45841.38503472223</v>
      </c>
      <c r="C692" s="1" t="n">
        <v>46003</v>
      </c>
      <c r="D692" t="inlineStr">
        <is>
          <t>VÄSTRA GÖTALANDS LÄN</t>
        </is>
      </c>
      <c r="E692" t="inlineStr">
        <is>
          <t>MARK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33468-2025</t>
        </is>
      </c>
      <c r="B693" s="1" t="n">
        <v>45841.48537037037</v>
      </c>
      <c r="C693" s="1" t="n">
        <v>46003</v>
      </c>
      <c r="D693" t="inlineStr">
        <is>
          <t>VÄSTRA GÖTALANDS LÄN</t>
        </is>
      </c>
      <c r="E693" t="inlineStr">
        <is>
          <t>MARK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33444-2025</t>
        </is>
      </c>
      <c r="B694" s="1" t="n">
        <v>45841.46166666667</v>
      </c>
      <c r="C694" s="1" t="n">
        <v>46003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33531-2025</t>
        </is>
      </c>
      <c r="B695" s="1" t="n">
        <v>45841.55440972222</v>
      </c>
      <c r="C695" s="1" t="n">
        <v>46003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34024-2025</t>
        </is>
      </c>
      <c r="B696" s="1" t="n">
        <v>45845.35418981482</v>
      </c>
      <c r="C696" s="1" t="n">
        <v>46003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64737-2023</t>
        </is>
      </c>
      <c r="B697" s="1" t="n">
        <v>45281</v>
      </c>
      <c r="C697" s="1" t="n">
        <v>46003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34081-2025</t>
        </is>
      </c>
      <c r="B698" s="1" t="n">
        <v>45845.45954861111</v>
      </c>
      <c r="C698" s="1" t="n">
        <v>46003</v>
      </c>
      <c r="D698" t="inlineStr">
        <is>
          <t>VÄSTRA GÖTALANDS LÄN</t>
        </is>
      </c>
      <c r="E698" t="inlineStr">
        <is>
          <t>MARK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34277-2025</t>
        </is>
      </c>
      <c r="B699" s="1" t="n">
        <v>45845.94069444444</v>
      </c>
      <c r="C699" s="1" t="n">
        <v>46003</v>
      </c>
      <c r="D699" t="inlineStr">
        <is>
          <t>VÄSTRA GÖTALANDS LÄN</t>
        </is>
      </c>
      <c r="E699" t="inlineStr">
        <is>
          <t>MARK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34085-2025</t>
        </is>
      </c>
      <c r="B700" s="1" t="n">
        <v>45845.46462962963</v>
      </c>
      <c r="C700" s="1" t="n">
        <v>46003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34021-2025</t>
        </is>
      </c>
      <c r="B701" s="1" t="n">
        <v>45845.34789351852</v>
      </c>
      <c r="C701" s="1" t="n">
        <v>46003</v>
      </c>
      <c r="D701" t="inlineStr">
        <is>
          <t>VÄSTRA GÖTALANDS LÄN</t>
        </is>
      </c>
      <c r="E701" t="inlineStr">
        <is>
          <t>MARK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44211-2023</t>
        </is>
      </c>
      <c r="B702" s="1" t="n">
        <v>45188</v>
      </c>
      <c r="C702" s="1" t="n">
        <v>46003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22641-2025</t>
        </is>
      </c>
      <c r="B703" s="1" t="n">
        <v>45789.45480324074</v>
      </c>
      <c r="C703" s="1" t="n">
        <v>46003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52019-2025</t>
        </is>
      </c>
      <c r="B704" s="1" t="n">
        <v>45952.59891203704</v>
      </c>
      <c r="C704" s="1" t="n">
        <v>46003</v>
      </c>
      <c r="D704" t="inlineStr">
        <is>
          <t>VÄSTRA GÖTALANDS LÄN</t>
        </is>
      </c>
      <c r="E704" t="inlineStr">
        <is>
          <t>MARK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34501-2025</t>
        </is>
      </c>
      <c r="B705" s="1" t="n">
        <v>45847.43148148148</v>
      </c>
      <c r="C705" s="1" t="n">
        <v>46003</v>
      </c>
      <c r="D705" t="inlineStr">
        <is>
          <t>VÄSTRA GÖTALANDS LÄN</t>
        </is>
      </c>
      <c r="E705" t="inlineStr">
        <is>
          <t>MARK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34507-2025</t>
        </is>
      </c>
      <c r="B706" s="1" t="n">
        <v>45847.44287037037</v>
      </c>
      <c r="C706" s="1" t="n">
        <v>46003</v>
      </c>
      <c r="D706" t="inlineStr">
        <is>
          <t>VÄSTRA GÖTALANDS LÄN</t>
        </is>
      </c>
      <c r="E706" t="inlineStr">
        <is>
          <t>MARK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57805-2024</t>
        </is>
      </c>
      <c r="B707" s="1" t="n">
        <v>45631.34956018518</v>
      </c>
      <c r="C707" s="1" t="n">
        <v>46003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60127-2024</t>
        </is>
      </c>
      <c r="B708" s="1" t="n">
        <v>45642.59199074074</v>
      </c>
      <c r="C708" s="1" t="n">
        <v>46003</v>
      </c>
      <c r="D708" t="inlineStr">
        <is>
          <t>VÄSTRA GÖTALANDS LÄN</t>
        </is>
      </c>
      <c r="E708" t="inlineStr">
        <is>
          <t>MARK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13114-2025</t>
        </is>
      </c>
      <c r="B709" s="1" t="n">
        <v>45734.70657407407</v>
      </c>
      <c r="C709" s="1" t="n">
        <v>46003</v>
      </c>
      <c r="D709" t="inlineStr">
        <is>
          <t>VÄSTRA GÖTALANDS LÄN</t>
        </is>
      </c>
      <c r="E709" t="inlineStr">
        <is>
          <t>MARK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26565-2025</t>
        </is>
      </c>
      <c r="B710" s="1" t="n">
        <v>45807.6665625</v>
      </c>
      <c r="C710" s="1" t="n">
        <v>46003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34902-2025</t>
        </is>
      </c>
      <c r="B711" s="1" t="n">
        <v>45849.50798611111</v>
      </c>
      <c r="C711" s="1" t="n">
        <v>46003</v>
      </c>
      <c r="D711" t="inlineStr">
        <is>
          <t>VÄSTRA GÖTALANDS LÄN</t>
        </is>
      </c>
      <c r="E711" t="inlineStr">
        <is>
          <t>MARK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69289-2021</t>
        </is>
      </c>
      <c r="B712" s="1" t="n">
        <v>44531</v>
      </c>
      <c r="C712" s="1" t="n">
        <v>46003</v>
      </c>
      <c r="D712" t="inlineStr">
        <is>
          <t>VÄSTRA GÖTALANDS LÄN</t>
        </is>
      </c>
      <c r="E712" t="inlineStr">
        <is>
          <t>MARK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35313-2025</t>
        </is>
      </c>
      <c r="B713" s="1" t="n">
        <v>45854</v>
      </c>
      <c r="C713" s="1" t="n">
        <v>46003</v>
      </c>
      <c r="D713" t="inlineStr">
        <is>
          <t>VÄSTRA GÖTALANDS LÄN</t>
        </is>
      </c>
      <c r="E713" t="inlineStr">
        <is>
          <t>MARK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1634-2024</t>
        </is>
      </c>
      <c r="B714" s="1" t="n">
        <v>45306</v>
      </c>
      <c r="C714" s="1" t="n">
        <v>46003</v>
      </c>
      <c r="D714" t="inlineStr">
        <is>
          <t>VÄSTRA GÖTALANDS LÄN</t>
        </is>
      </c>
      <c r="E714" t="inlineStr">
        <is>
          <t>MARK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35353-2025</t>
        </is>
      </c>
      <c r="B715" s="1" t="n">
        <v>45854.65184027778</v>
      </c>
      <c r="C715" s="1" t="n">
        <v>46003</v>
      </c>
      <c r="D715" t="inlineStr">
        <is>
          <t>VÄSTRA GÖTALANDS LÄN</t>
        </is>
      </c>
      <c r="E715" t="inlineStr">
        <is>
          <t>MARK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32513-2025</t>
        </is>
      </c>
      <c r="B716" s="1" t="n">
        <v>45838</v>
      </c>
      <c r="C716" s="1" t="n">
        <v>46003</v>
      </c>
      <c r="D716" t="inlineStr">
        <is>
          <t>VÄSTRA GÖTALANDS LÄN</t>
        </is>
      </c>
      <c r="E716" t="inlineStr">
        <is>
          <t>MARK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35378-2025</t>
        </is>
      </c>
      <c r="B717" s="1" t="n">
        <v>45855.29137731482</v>
      </c>
      <c r="C717" s="1" t="n">
        <v>46003</v>
      </c>
      <c r="D717" t="inlineStr">
        <is>
          <t>VÄSTRA GÖTALANDS LÄN</t>
        </is>
      </c>
      <c r="E717" t="inlineStr">
        <is>
          <t>MARK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35382-2025</t>
        </is>
      </c>
      <c r="B718" s="1" t="n">
        <v>45855.31087962963</v>
      </c>
      <c r="C718" s="1" t="n">
        <v>46003</v>
      </c>
      <c r="D718" t="inlineStr">
        <is>
          <t>VÄSTRA GÖTALANDS LÄN</t>
        </is>
      </c>
      <c r="E718" t="inlineStr">
        <is>
          <t>MARK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35383-2025</t>
        </is>
      </c>
      <c r="B719" s="1" t="n">
        <v>45855.31182870371</v>
      </c>
      <c r="C719" s="1" t="n">
        <v>46003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35381-2025</t>
        </is>
      </c>
      <c r="B720" s="1" t="n">
        <v>45855.30979166667</v>
      </c>
      <c r="C720" s="1" t="n">
        <v>46003</v>
      </c>
      <c r="D720" t="inlineStr">
        <is>
          <t>VÄSTRA GÖTALANDS LÄN</t>
        </is>
      </c>
      <c r="E720" t="inlineStr">
        <is>
          <t>MARK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58640-2025</t>
        </is>
      </c>
      <c r="B721" s="1" t="n">
        <v>45986.4943287037</v>
      </c>
      <c r="C721" s="1" t="n">
        <v>46003</v>
      </c>
      <c r="D721" t="inlineStr">
        <is>
          <t>VÄSTRA GÖTALANDS LÄN</t>
        </is>
      </c>
      <c r="E721" t="inlineStr">
        <is>
          <t>MARK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35384-2025</t>
        </is>
      </c>
      <c r="B722" s="1" t="n">
        <v>45855.31493055556</v>
      </c>
      <c r="C722" s="1" t="n">
        <v>46003</v>
      </c>
      <c r="D722" t="inlineStr">
        <is>
          <t>VÄSTRA GÖTALANDS LÄN</t>
        </is>
      </c>
      <c r="E722" t="inlineStr">
        <is>
          <t>MARK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35377-2025</t>
        </is>
      </c>
      <c r="B723" s="1" t="n">
        <v>45855.28851851852</v>
      </c>
      <c r="C723" s="1" t="n">
        <v>46003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52200-2025</t>
        </is>
      </c>
      <c r="B724" s="1" t="n">
        <v>45953.40328703704</v>
      </c>
      <c r="C724" s="1" t="n">
        <v>46003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52198-2025</t>
        </is>
      </c>
      <c r="B725" s="1" t="n">
        <v>45953.39973379629</v>
      </c>
      <c r="C725" s="1" t="n">
        <v>46003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35915-2025</t>
        </is>
      </c>
      <c r="B726" s="1" t="n">
        <v>45862.55155092593</v>
      </c>
      <c r="C726" s="1" t="n">
        <v>46003</v>
      </c>
      <c r="D726" t="inlineStr">
        <is>
          <t>VÄSTRA GÖTALANDS LÄN</t>
        </is>
      </c>
      <c r="E726" t="inlineStr">
        <is>
          <t>MARK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35903-2025</t>
        </is>
      </c>
      <c r="B727" s="1" t="n">
        <v>45862.49201388889</v>
      </c>
      <c r="C727" s="1" t="n">
        <v>46003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52915-2025</t>
        </is>
      </c>
      <c r="B728" s="1" t="n">
        <v>45957.60747685185</v>
      </c>
      <c r="C728" s="1" t="n">
        <v>46003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36268-2025</t>
        </is>
      </c>
      <c r="B729" s="1" t="n">
        <v>45867.61729166667</v>
      </c>
      <c r="C729" s="1" t="n">
        <v>46003</v>
      </c>
      <c r="D729" t="inlineStr">
        <is>
          <t>VÄSTRA GÖTALANDS LÄN</t>
        </is>
      </c>
      <c r="E729" t="inlineStr">
        <is>
          <t>MARK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36230-2025</t>
        </is>
      </c>
      <c r="B730" s="1" t="n">
        <v>45867.53939814815</v>
      </c>
      <c r="C730" s="1" t="n">
        <v>46003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36270-2025</t>
        </is>
      </c>
      <c r="B731" s="1" t="n">
        <v>45867.61944444444</v>
      </c>
      <c r="C731" s="1" t="n">
        <v>46003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54-2023</t>
        </is>
      </c>
      <c r="B732" s="1" t="n">
        <v>44928.40848379629</v>
      </c>
      <c r="C732" s="1" t="n">
        <v>46003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16538-2023</t>
        </is>
      </c>
      <c r="B733" s="1" t="n">
        <v>45029</v>
      </c>
      <c r="C733" s="1" t="n">
        <v>46003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16539-2023</t>
        </is>
      </c>
      <c r="B734" s="1" t="n">
        <v>45029</v>
      </c>
      <c r="C734" s="1" t="n">
        <v>46003</v>
      </c>
      <c r="D734" t="inlineStr">
        <is>
          <t>VÄSTRA GÖTALANDS LÄN</t>
        </is>
      </c>
      <c r="E734" t="inlineStr">
        <is>
          <t>MARK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58397-2022</t>
        </is>
      </c>
      <c r="B735" s="1" t="n">
        <v>44901.65896990741</v>
      </c>
      <c r="C735" s="1" t="n">
        <v>46003</v>
      </c>
      <c r="D735" t="inlineStr">
        <is>
          <t>VÄSTRA GÖTALANDS LÄN</t>
        </is>
      </c>
      <c r="E735" t="inlineStr">
        <is>
          <t>MARK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59083-2022</t>
        </is>
      </c>
      <c r="B736" s="1" t="n">
        <v>44904.37513888889</v>
      </c>
      <c r="C736" s="1" t="n">
        <v>46003</v>
      </c>
      <c r="D736" t="inlineStr">
        <is>
          <t>VÄSTRA GÖTALANDS LÄN</t>
        </is>
      </c>
      <c r="E736" t="inlineStr">
        <is>
          <t>MARK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51497-2022</t>
        </is>
      </c>
      <c r="B737" s="1" t="n">
        <v>44869</v>
      </c>
      <c r="C737" s="1" t="n">
        <v>46003</v>
      </c>
      <c r="D737" t="inlineStr">
        <is>
          <t>VÄSTRA GÖTALANDS LÄN</t>
        </is>
      </c>
      <c r="E737" t="inlineStr">
        <is>
          <t>MARK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4306-2024</t>
        </is>
      </c>
      <c r="B738" s="1" t="n">
        <v>45324.63686342593</v>
      </c>
      <c r="C738" s="1" t="n">
        <v>46003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9197-2024</t>
        </is>
      </c>
      <c r="B739" s="1" t="n">
        <v>45358.46297453704</v>
      </c>
      <c r="C739" s="1" t="n">
        <v>46003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26683-2025</t>
        </is>
      </c>
      <c r="B740" s="1" t="n">
        <v>45810.43164351852</v>
      </c>
      <c r="C740" s="1" t="n">
        <v>46003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45209.54509259259</v>
      </c>
      <c r="C741" s="1" t="n">
        <v>46003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45913-2024</t>
        </is>
      </c>
      <c r="B742" s="1" t="n">
        <v>45580.45703703703</v>
      </c>
      <c r="C742" s="1" t="n">
        <v>46003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16963-2025</t>
        </is>
      </c>
      <c r="B743" s="1" t="n">
        <v>45755.45349537037</v>
      </c>
      <c r="C743" s="1" t="n">
        <v>46003</v>
      </c>
      <c r="D743" t="inlineStr">
        <is>
          <t>VÄSTRA GÖTALANDS LÄN</t>
        </is>
      </c>
      <c r="E743" t="inlineStr">
        <is>
          <t>MARK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23990-2025</t>
        </is>
      </c>
      <c r="B744" s="1" t="n">
        <v>45796.40141203703</v>
      </c>
      <c r="C744" s="1" t="n">
        <v>46003</v>
      </c>
      <c r="D744" t="inlineStr">
        <is>
          <t>VÄSTRA GÖTALANDS LÄN</t>
        </is>
      </c>
      <c r="E744" t="inlineStr">
        <is>
          <t>MARK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60790-2025</t>
        </is>
      </c>
      <c r="B745" s="1" t="n">
        <v>45999.41503472222</v>
      </c>
      <c r="C745" s="1" t="n">
        <v>46003</v>
      </c>
      <c r="D745" t="inlineStr">
        <is>
          <t>VÄSTRA GÖTALANDS LÄN</t>
        </is>
      </c>
      <c r="E745" t="inlineStr">
        <is>
          <t>MARK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32888-2023</t>
        </is>
      </c>
      <c r="B746" s="1" t="n">
        <v>45124</v>
      </c>
      <c r="C746" s="1" t="n">
        <v>46003</v>
      </c>
      <c r="D746" t="inlineStr">
        <is>
          <t>VÄSTRA GÖTALANDS LÄN</t>
        </is>
      </c>
      <c r="E746" t="inlineStr">
        <is>
          <t>MARK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36803-2025</t>
        </is>
      </c>
      <c r="B747" s="1" t="n">
        <v>45873.6764699074</v>
      </c>
      <c r="C747" s="1" t="n">
        <v>46003</v>
      </c>
      <c r="D747" t="inlineStr">
        <is>
          <t>VÄSTRA GÖTALANDS LÄN</t>
        </is>
      </c>
      <c r="E747" t="inlineStr">
        <is>
          <t>MARK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2730-2023</t>
        </is>
      </c>
      <c r="B748" s="1" t="n">
        <v>44944.56824074074</v>
      </c>
      <c r="C748" s="1" t="n">
        <v>46003</v>
      </c>
      <c r="D748" t="inlineStr">
        <is>
          <t>VÄSTRA GÖTALANDS LÄN</t>
        </is>
      </c>
      <c r="E748" t="inlineStr">
        <is>
          <t>MARK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58398-2022</t>
        </is>
      </c>
      <c r="B749" s="1" t="n">
        <v>44901.66434027778</v>
      </c>
      <c r="C749" s="1" t="n">
        <v>46003</v>
      </c>
      <c r="D749" t="inlineStr">
        <is>
          <t>VÄSTRA GÖTALANDS LÄN</t>
        </is>
      </c>
      <c r="E749" t="inlineStr">
        <is>
          <t>MARK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62999-2023</t>
        </is>
      </c>
      <c r="B750" s="1" t="n">
        <v>45272</v>
      </c>
      <c r="C750" s="1" t="n">
        <v>46003</v>
      </c>
      <c r="D750" t="inlineStr">
        <is>
          <t>VÄSTRA GÖTALANDS LÄN</t>
        </is>
      </c>
      <c r="E750" t="inlineStr">
        <is>
          <t>MARK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33266-2023</t>
        </is>
      </c>
      <c r="B751" s="1" t="n">
        <v>45127.5749074074</v>
      </c>
      <c r="C751" s="1" t="n">
        <v>46003</v>
      </c>
      <c r="D751" t="inlineStr">
        <is>
          <t>VÄSTRA GÖTALANDS LÄN</t>
        </is>
      </c>
      <c r="E751" t="inlineStr">
        <is>
          <t>MARK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6477-2025</t>
        </is>
      </c>
      <c r="B752" s="1" t="n">
        <v>45699.6043287037</v>
      </c>
      <c r="C752" s="1" t="n">
        <v>46003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23385-2023</t>
        </is>
      </c>
      <c r="B753" s="1" t="n">
        <v>45076</v>
      </c>
      <c r="C753" s="1" t="n">
        <v>46003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36652-2025</t>
        </is>
      </c>
      <c r="B754" s="1" t="n">
        <v>45872.76523148148</v>
      </c>
      <c r="C754" s="1" t="n">
        <v>46003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23948-2025</t>
        </is>
      </c>
      <c r="B755" s="1" t="n">
        <v>45796.34909722222</v>
      </c>
      <c r="C755" s="1" t="n">
        <v>46003</v>
      </c>
      <c r="D755" t="inlineStr">
        <is>
          <t>VÄSTRA GÖTALANDS LÄN</t>
        </is>
      </c>
      <c r="E755" t="inlineStr">
        <is>
          <t>MARK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51495-2022</t>
        </is>
      </c>
      <c r="B756" s="1" t="n">
        <v>44869</v>
      </c>
      <c r="C756" s="1" t="n">
        <v>46003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61372-2025</t>
        </is>
      </c>
      <c r="B757" s="1" t="n">
        <v>46001.43695601852</v>
      </c>
      <c r="C757" s="1" t="n">
        <v>46003</v>
      </c>
      <c r="D757" t="inlineStr">
        <is>
          <t>VÄSTRA GÖTALANDS LÄN</t>
        </is>
      </c>
      <c r="E757" t="inlineStr">
        <is>
          <t>MARK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36374-2025</t>
        </is>
      </c>
      <c r="B758" s="1" t="n">
        <v>45868</v>
      </c>
      <c r="C758" s="1" t="n">
        <v>46003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7958-2025</t>
        </is>
      </c>
      <c r="B759" s="1" t="n">
        <v>45707.43508101852</v>
      </c>
      <c r="C759" s="1" t="n">
        <v>46003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12138-2023</t>
        </is>
      </c>
      <c r="B760" s="1" t="n">
        <v>44998.46474537037</v>
      </c>
      <c r="C760" s="1" t="n">
        <v>46003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21587-2023</t>
        </is>
      </c>
      <c r="B761" s="1" t="n">
        <v>45063.60025462963</v>
      </c>
      <c r="C761" s="1" t="n">
        <v>46003</v>
      </c>
      <c r="D761" t="inlineStr">
        <is>
          <t>VÄSTRA GÖTALANDS LÄN</t>
        </is>
      </c>
      <c r="E761" t="inlineStr">
        <is>
          <t>MARK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8886-2025</t>
        </is>
      </c>
      <c r="B762" s="1" t="n">
        <v>45713.39217592592</v>
      </c>
      <c r="C762" s="1" t="n">
        <v>46003</v>
      </c>
      <c r="D762" t="inlineStr">
        <is>
          <t>VÄSTRA GÖTALANDS LÄN</t>
        </is>
      </c>
      <c r="E762" t="inlineStr">
        <is>
          <t>MARK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61713-2025</t>
        </is>
      </c>
      <c r="B763" s="1" t="n">
        <v>46002.56458333333</v>
      </c>
      <c r="C763" s="1" t="n">
        <v>46003</v>
      </c>
      <c r="D763" t="inlineStr">
        <is>
          <t>VÄSTRA GÖTALANDS LÄN</t>
        </is>
      </c>
      <c r="E763" t="inlineStr">
        <is>
          <t>MARK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43474-2024</t>
        </is>
      </c>
      <c r="B764" s="1" t="n">
        <v>45568.7375925926</v>
      </c>
      <c r="C764" s="1" t="n">
        <v>46003</v>
      </c>
      <c r="D764" t="inlineStr">
        <is>
          <t>VÄSTRA GÖTALANDS LÄN</t>
        </is>
      </c>
      <c r="E764" t="inlineStr">
        <is>
          <t>MARK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36659-2022</t>
        </is>
      </c>
      <c r="B765" s="1" t="n">
        <v>44804</v>
      </c>
      <c r="C765" s="1" t="n">
        <v>46003</v>
      </c>
      <c r="D765" t="inlineStr">
        <is>
          <t>VÄSTRA GÖTALANDS LÄN</t>
        </is>
      </c>
      <c r="E765" t="inlineStr">
        <is>
          <t>MARK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20707-2025</t>
        </is>
      </c>
      <c r="B766" s="1" t="n">
        <v>45776.48423611111</v>
      </c>
      <c r="C766" s="1" t="n">
        <v>46003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60662-2025</t>
        </is>
      </c>
      <c r="B767" s="1" t="n">
        <v>45996.50127314815</v>
      </c>
      <c r="C767" s="1" t="n">
        <v>46003</v>
      </c>
      <c r="D767" t="inlineStr">
        <is>
          <t>VÄSTRA GÖTALANDS LÄN</t>
        </is>
      </c>
      <c r="E767" t="inlineStr">
        <is>
          <t>MARK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45316.4958449074</v>
      </c>
      <c r="C768" s="1" t="n">
        <v>46003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29099-2025</t>
        </is>
      </c>
      <c r="B769" s="1" t="n">
        <v>45821.56581018519</v>
      </c>
      <c r="C769" s="1" t="n">
        <v>46003</v>
      </c>
      <c r="D769" t="inlineStr">
        <is>
          <t>VÄSTRA GÖTALANDS LÄN</t>
        </is>
      </c>
      <c r="E769" t="inlineStr">
        <is>
          <t>MARK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37132-2025</t>
        </is>
      </c>
      <c r="B770" s="1" t="n">
        <v>45875.54393518518</v>
      </c>
      <c r="C770" s="1" t="n">
        <v>46003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37153-2025</t>
        </is>
      </c>
      <c r="B771" s="1" t="n">
        <v>45875.58526620371</v>
      </c>
      <c r="C771" s="1" t="n">
        <v>46003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37164-2025</t>
        </is>
      </c>
      <c r="B772" s="1" t="n">
        <v>45875.60344907407</v>
      </c>
      <c r="C772" s="1" t="n">
        <v>46003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61380-2025</t>
        </is>
      </c>
      <c r="B773" s="1" t="n">
        <v>46001.44486111111</v>
      </c>
      <c r="C773" s="1" t="n">
        <v>46003</v>
      </c>
      <c r="D773" t="inlineStr">
        <is>
          <t>VÄSTRA GÖTALANDS LÄN</t>
        </is>
      </c>
      <c r="E773" t="inlineStr">
        <is>
          <t>MARK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37060-2025</t>
        </is>
      </c>
      <c r="B774" s="1" t="n">
        <v>45875.3753125</v>
      </c>
      <c r="C774" s="1" t="n">
        <v>46003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37505-2025</t>
        </is>
      </c>
      <c r="B775" s="1" t="n">
        <v>45877.65163194444</v>
      </c>
      <c r="C775" s="1" t="n">
        <v>46003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53318-2025</t>
        </is>
      </c>
      <c r="B776" s="1" t="n">
        <v>45959.35469907407</v>
      </c>
      <c r="C776" s="1" t="n">
        <v>46003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53330-2025</t>
        </is>
      </c>
      <c r="B777" s="1" t="n">
        <v>45959.36641203704</v>
      </c>
      <c r="C777" s="1" t="n">
        <v>46003</v>
      </c>
      <c r="D777" t="inlineStr">
        <is>
          <t>VÄSTRA GÖTALANDS LÄN</t>
        </is>
      </c>
      <c r="E777" t="inlineStr">
        <is>
          <t>MARK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37744-2025</t>
        </is>
      </c>
      <c r="B778" s="1" t="n">
        <v>45880.66527777778</v>
      </c>
      <c r="C778" s="1" t="n">
        <v>46003</v>
      </c>
      <c r="D778" t="inlineStr">
        <is>
          <t>VÄSTRA GÖTALANDS LÄN</t>
        </is>
      </c>
      <c r="E778" t="inlineStr">
        <is>
          <t>MARK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2025-12-12T10:28:02Z</dcterms:created>
  <dcterms:modified xmlns:dcterms="http://purl.org/dc/terms/" xmlns:xsi="http://www.w3.org/2001/XMLSchema-instance" xsi:type="dcterms:W3CDTF">2025-12-12T10:28:03Z</dcterms:modified>
</cp:coreProperties>
</file>