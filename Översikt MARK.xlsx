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30854-2024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45497</v>
      </c>
      <c r="E2" s="1" t="n">
        <v>46326</v>
      </c>
      <c r="F2" t="inlineStr">
        <is>
          <t>VÄSTRA GÖTALANDS LÄN</t>
        </is>
      </c>
      <c r="G2" t="inlineStr">
        <is>
          <t>MARK</t>
        </is>
      </c>
      <c r="I2" t="n">
        <v>1.4</v>
      </c>
      <c r="J2" t="n">
        <v>15</v>
      </c>
      <c r="K2" t="n">
        <v>1</v>
      </c>
      <c r="L2" t="n">
        <v>3</v>
      </c>
      <c r="M2" t="n">
        <v>3</v>
      </c>
      <c r="N2" t="n">
        <v>1</v>
      </c>
      <c r="O2" t="n">
        <v>0</v>
      </c>
      <c r="P2" t="n">
        <v>0</v>
      </c>
      <c r="Q2" t="n">
        <v>7</v>
      </c>
      <c r="R2" t="n">
        <v>4</v>
      </c>
      <c r="S2" t="n">
        <v>16</v>
      </c>
      <c r="T2" t="n">
        <v>16</v>
      </c>
      <c r="U2" t="n">
        <v>0</v>
      </c>
      <c r="V2" s="2" t="inlineStr">
        <is>
          <t>Kornknarr
Hussvala
Tofsvipa
Tornseglare
Duvhök
Ladusvala
Nordfladdermus
Bårdlav
Nattskärra
Buskskvätta
Dvärgpipistrell
Kråka
Röd glada
Större brunfladdermus
Sångsvan
Törnskata</t>
        </is>
      </c>
      <c r="W2">
        <f>HYPERLINK("https://klasma.github.io/Logging_1463/artfynd/A 30854-2024 artfynd.xlsx", "A 30854-2024")</f>
        <v/>
      </c>
      <c r="X2">
        <f>HYPERLINK("https://klasma.github.io/Logging_1463/kartor/A 30854-2024 karta.png", "A 30854-2024")</f>
        <v/>
      </c>
      <c r="Y2">
        <f>HYPERLINK("https://klasma.github.io/Logging_1463/kartor_geotiff/A 30854-2024 georefererad karta.tif", "A 30854-2024")</f>
        <v/>
      </c>
      <c r="AA2">
        <f>HYPERLINK("https://klasma.github.io/Logging_1463/klagomål/A 30854-2024 FSC-klagomål.docx", "A 30854-2024")</f>
        <v/>
      </c>
      <c r="AB2">
        <f>HYPERLINK("https://klasma.github.io/Logging_1463/klagomålsmail/A 30854-2024 FSC-klagomål mail.docx", "A 30854-2024")</f>
        <v/>
      </c>
      <c r="AC2">
        <f>HYPERLINK("https://klasma.github.io/Logging_1463/tillsyn/A 30854-2024 tillsynsbegäran.docx", "A 30854-2024")</f>
        <v/>
      </c>
      <c r="AD2">
        <f>HYPERLINK("https://klasma.github.io/Logging_1463/tillsynsmail/A 30854-2024 tillsynsbegäran mail.docx", "A 30854-2024")</f>
        <v/>
      </c>
      <c r="AE2">
        <f>HYPERLINK("https://klasma.github.io/Logging_1463/fåglar/A 30854-2024 prioriterade fågelarter.docx", "A 30854-2024")</f>
        <v/>
      </c>
    </row>
    <row r="3" ht="15" customHeight="1">
      <c r="A3" t="inlineStr">
        <is>
          <t>A 54503-2024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45617</v>
      </c>
      <c r="E3" s="1" t="n">
        <v>46326</v>
      </c>
      <c r="F3" t="inlineStr">
        <is>
          <t>VÄSTRA GÖTALANDS LÄN</t>
        </is>
      </c>
      <c r="G3" t="inlineStr">
        <is>
          <t>MARK</t>
        </is>
      </c>
      <c r="I3" t="n">
        <v>14.3</v>
      </c>
      <c r="J3" t="n">
        <v>4</v>
      </c>
      <c r="K3" t="n">
        <v>1</v>
      </c>
      <c r="L3" t="n">
        <v>1</v>
      </c>
      <c r="M3" t="n">
        <v>1</v>
      </c>
      <c r="N3" t="n">
        <v>1</v>
      </c>
      <c r="O3" t="n">
        <v>0</v>
      </c>
      <c r="P3" t="n">
        <v>0</v>
      </c>
      <c r="Q3" t="n">
        <v>3</v>
      </c>
      <c r="R3" t="n">
        <v>2</v>
      </c>
      <c r="S3" t="n">
        <v>6</v>
      </c>
      <c r="T3" t="n">
        <v>6</v>
      </c>
      <c r="U3" t="n">
        <v>6</v>
      </c>
      <c r="V3" s="2" t="inlineStr">
        <is>
          <t>Ask
Knärot
Svinrot
Spindelblomster
Mattlummer
Revlummer</t>
        </is>
      </c>
      <c r="W3">
        <f>HYPERLINK("https://klasma.github.io/Logging_1463/artfynd/A 54503-2024 artfynd.xlsx", "A 54503-2024")</f>
        <v/>
      </c>
      <c r="X3">
        <f>HYPERLINK("https://klasma.github.io/Logging_1463/kartor/A 54503-2024 karta.png", "A 54503-2024")</f>
        <v/>
      </c>
      <c r="Y3">
        <f>HYPERLINK("https://klasma.github.io/Logging_1463/kartor_geotiff/A 54503-2024 georefererad karta.tif", "A 54503-2024")</f>
        <v/>
      </c>
      <c r="Z3">
        <f>HYPERLINK("https://klasma.github.io/Logging_1463/knärot/A 54503-2024 karta knärot.png", "A 54503-2024")</f>
        <v/>
      </c>
      <c r="AA3">
        <f>HYPERLINK("https://klasma.github.io/Logging_1463/klagomål/A 54503-2024 FSC-klagomål.docx", "A 54503-2024")</f>
        <v/>
      </c>
      <c r="AB3">
        <f>HYPERLINK("https://klasma.github.io/Logging_1463/klagomålsmail/A 54503-2024 FSC-klagomål mail.docx", "A 54503-2024")</f>
        <v/>
      </c>
      <c r="AC3">
        <f>HYPERLINK("https://klasma.github.io/Logging_1463/tillsyn/A 54503-2024 tillsynsbegäran.docx", "A 54503-2024")</f>
        <v/>
      </c>
      <c r="AD3">
        <f>HYPERLINK("https://klasma.github.io/Logging_1463/tillsynsmail/A 54503-2024 tillsynsbegäran mail.docx", "A 54503-2024")</f>
        <v/>
      </c>
    </row>
    <row r="4" ht="15" customHeight="1">
      <c r="A4" t="inlineStr">
        <is>
          <t>A 51553-2023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45222</v>
      </c>
      <c r="E4" s="1" t="n">
        <v>46326</v>
      </c>
      <c r="F4" t="inlineStr">
        <is>
          <t>VÄSTRA GÖTALANDS LÄN</t>
        </is>
      </c>
      <c r="G4" t="inlineStr">
        <is>
          <t>MARK</t>
        </is>
      </c>
      <c r="I4" t="n">
        <v>0.6</v>
      </c>
      <c r="J4" t="n">
        <v>0</v>
      </c>
      <c r="K4" t="n">
        <v>2</v>
      </c>
      <c r="L4" t="n">
        <v>0</v>
      </c>
      <c r="M4" t="n">
        <v>0</v>
      </c>
      <c r="N4" t="n">
        <v>1</v>
      </c>
      <c r="O4" t="n">
        <v>0</v>
      </c>
      <c r="P4" t="n">
        <v>0</v>
      </c>
      <c r="Q4" t="n">
        <v>1</v>
      </c>
      <c r="R4" t="n">
        <v>1</v>
      </c>
      <c r="S4" t="n">
        <v>3</v>
      </c>
      <c r="T4" t="n">
        <v>3</v>
      </c>
      <c r="U4" t="n">
        <v>0</v>
      </c>
      <c r="V4" s="2" t="inlineStr">
        <is>
          <t>Ask
Fällmossa
Guldlockmossa</t>
        </is>
      </c>
      <c r="W4">
        <f>HYPERLINK("https://klasma.github.io/Logging_1463/artfynd/A 51553-2023 artfynd.xlsx", "A 51553-2023")</f>
        <v/>
      </c>
      <c r="X4">
        <f>HYPERLINK("https://klasma.github.io/Logging_1463/kartor/A 51553-2023 karta.png", "A 51553-2023")</f>
        <v/>
      </c>
      <c r="Y4">
        <f>HYPERLINK("https://klasma.github.io/Logging_1463/kartor_geotiff/A 51553-2023 georefererad karta.tif", "A 51553-2023")</f>
        <v/>
      </c>
      <c r="AA4">
        <f>HYPERLINK("https://klasma.github.io/Logging_1463/klagomål/A 51553-2023 FSC-klagomål.docx", "A 51553-2023")</f>
        <v/>
      </c>
      <c r="AB4">
        <f>HYPERLINK("https://klasma.github.io/Logging_1463/klagomålsmail/A 51553-2023 FSC-klagomål mail.docx", "A 51553-2023")</f>
        <v/>
      </c>
      <c r="AC4">
        <f>HYPERLINK("https://klasma.github.io/Logging_1463/tillsyn/A 51553-2023 tillsynsbegäran.docx", "A 51553-2023")</f>
        <v/>
      </c>
      <c r="AD4">
        <f>HYPERLINK("https://klasma.github.io/Logging_1463/tillsynsmail/A 51553-2023 tillsynsbegäran mail.docx", "A 51553-2023")</f>
        <v/>
      </c>
    </row>
    <row r="5" ht="15" customHeight="1">
      <c r="A5" t="inlineStr">
        <is>
          <t>A 34159-2023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45137</v>
      </c>
      <c r="E5" s="1" t="n">
        <v>46326</v>
      </c>
      <c r="F5" t="inlineStr">
        <is>
          <t>VÄSTRA GÖTALANDS LÄN</t>
        </is>
      </c>
      <c r="G5" t="inlineStr">
        <is>
          <t>MARK</t>
        </is>
      </c>
      <c r="I5" t="n">
        <v>6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3</v>
      </c>
      <c r="U5" t="n">
        <v>2</v>
      </c>
      <c r="V5" s="2" t="inlineStr">
        <is>
          <t>Kruskantarell
Zontaggsvamp
Grönvit nattviol</t>
        </is>
      </c>
      <c r="W5">
        <f>HYPERLINK("https://klasma.github.io/Logging_1463/artfynd/A 34159-2023 artfynd.xlsx", "A 34159-2023")</f>
        <v/>
      </c>
      <c r="X5">
        <f>HYPERLINK("https://klasma.github.io/Logging_1463/kartor/A 34159-2023 karta.png", "A 34159-2023")</f>
        <v/>
      </c>
      <c r="Y5">
        <f>HYPERLINK("https://klasma.github.io/Logging_1463/kartor_geotiff/A 34159-2023 georefererad karta.tif", "A 34159-2023")</f>
        <v/>
      </c>
      <c r="AA5">
        <f>HYPERLINK("https://klasma.github.io/Logging_1463/klagomål/A 34159-2023 FSC-klagomål.docx", "A 34159-2023")</f>
        <v/>
      </c>
      <c r="AB5">
        <f>HYPERLINK("https://klasma.github.io/Logging_1463/klagomålsmail/A 34159-2023 FSC-klagomål mail.docx", "A 34159-2023")</f>
        <v/>
      </c>
      <c r="AC5">
        <f>HYPERLINK("https://klasma.github.io/Logging_1463/tillsyn/A 34159-2023 tillsynsbegäran.docx", "A 34159-2023")</f>
        <v/>
      </c>
      <c r="AD5">
        <f>HYPERLINK("https://klasma.github.io/Logging_1463/tillsynsmail/A 34159-2023 tillsynsbegäran mail.docx", "A 34159-2023")</f>
        <v/>
      </c>
    </row>
    <row r="6" ht="15" customHeight="1">
      <c r="A6" t="inlineStr">
        <is>
          <t>S 535-2024</t>
        </is>
      </c>
      <c r="B6" t="inlineStr">
        <is>
          <t>samrådsanmälan</t>
        </is>
      </c>
      <c r="C6" t="inlineStr">
        <is>
          <t>Askåterföring</t>
        </is>
      </c>
      <c r="D6" s="1" t="n">
        <v>45348</v>
      </c>
      <c r="E6" s="1" t="n">
        <v>46326</v>
      </c>
      <c r="F6" t="inlineStr">
        <is>
          <t>VÄSTRA GÖTALANDS LÄN</t>
        </is>
      </c>
      <c r="G6" t="inlineStr">
        <is>
          <t>MARK</t>
        </is>
      </c>
      <c r="I6" t="n">
        <v>113.9</v>
      </c>
      <c r="J6" t="n">
        <v>0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3</v>
      </c>
      <c r="T6" t="n">
        <v>4</v>
      </c>
      <c r="U6" t="n">
        <v>1</v>
      </c>
      <c r="V6" s="2" t="inlineStr">
        <is>
          <t>Borsttåg
Dropptaggsvamp
Svartvit taggsvamp</t>
        </is>
      </c>
      <c r="W6">
        <f>HYPERLINK("https://klasma.github.io/Logging_1463/artfynd/S 535-2024 artfynd.xlsx", "S 535-2024")</f>
        <v/>
      </c>
      <c r="X6">
        <f>HYPERLINK("https://klasma.github.io/Logging_1463/kartor/S 535-2024 karta.png", "S 535-2024")</f>
        <v/>
      </c>
      <c r="Y6">
        <f>HYPERLINK("https://klasma.github.io/Logging_1463/kartor_geotiff/S 535-2024 georefererad karta.tif", "S 535-2024")</f>
        <v/>
      </c>
      <c r="AA6">
        <f>HYPERLINK("https://klasma.github.io/Logging_1463/klagomål/S 535-2024 FSC-klagomål.docx", "S 535-2024")</f>
        <v/>
      </c>
      <c r="AB6">
        <f>HYPERLINK("https://klasma.github.io/Logging_1463/klagomålsmail/S 535-2024 FSC-klagomål mail.docx", "S 535-2024")</f>
        <v/>
      </c>
      <c r="AC6">
        <f>HYPERLINK("https://klasma.github.io/Logging_1463/tillsyn/S 535-2024 tillsynsbegäran.docx", "S 535-2024")</f>
        <v/>
      </c>
      <c r="AD6">
        <f>HYPERLINK("https://klasma.github.io/Logging_1463/tillsynsmail/S 535-2024 tillsynsbegäran mail.docx", "S 535-2024")</f>
        <v/>
      </c>
    </row>
    <row r="7" ht="15" customHeight="1">
      <c r="A7" t="inlineStr">
        <is>
          <t>S 4590-2023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45285</v>
      </c>
      <c r="E7" s="1" t="n">
        <v>46326</v>
      </c>
      <c r="F7" t="inlineStr">
        <is>
          <t>VÄSTRA GÖTALANDS LÄN</t>
        </is>
      </c>
      <c r="G7" t="inlineStr">
        <is>
          <t>MARK</t>
        </is>
      </c>
      <c r="I7" t="n">
        <v>4</v>
      </c>
      <c r="J7" t="n">
        <v>1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Desmeknopp
Iller
Knippnejlika</t>
        </is>
      </c>
      <c r="W7">
        <f>HYPERLINK("https://klasma.github.io/Logging_1463/artfynd/S 4590-2023 artfynd.xlsx", "S 4590-2023")</f>
        <v/>
      </c>
      <c r="X7">
        <f>HYPERLINK("https://klasma.github.io/Logging_1463/kartor/S 4590-2023 karta.png", "S 4590-2023")</f>
        <v/>
      </c>
      <c r="Y7">
        <f>HYPERLINK("https://klasma.github.io/Logging_1463/kartor_geotiff/S 4590-2023 georefererad karta.tif", "S 4590-2023")</f>
        <v/>
      </c>
      <c r="AA7">
        <f>HYPERLINK("https://klasma.github.io/Logging_1463/klagomål/S 4590-2023 FSC-klagomål.docx", "S 4590-2023")</f>
        <v/>
      </c>
      <c r="AB7">
        <f>HYPERLINK("https://klasma.github.io/Logging_1463/klagomålsmail/S 4590-2023 FSC-klagomål mail.docx", "S 4590-2023")</f>
        <v/>
      </c>
      <c r="AC7">
        <f>HYPERLINK("https://klasma.github.io/Logging_1463/tillsyn/S 4590-2023 tillsynsbegäran.docx", "S 4590-2023")</f>
        <v/>
      </c>
      <c r="AD7">
        <f>HYPERLINK("https://klasma.github.io/Logging_1463/tillsynsmail/S 4590-2023 tillsynsbegäran mail.docx", "S 4590-2023")</f>
        <v/>
      </c>
    </row>
    <row r="8" ht="15" customHeight="1">
      <c r="A8" t="inlineStr">
        <is>
          <t>A 12807-2023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45001</v>
      </c>
      <c r="E8" s="1" t="n">
        <v>46326</v>
      </c>
      <c r="F8" t="inlineStr">
        <is>
          <t>VÄSTRA GÖTALANDS LÄN</t>
        </is>
      </c>
      <c r="G8" t="inlineStr">
        <is>
          <t>MARK</t>
        </is>
      </c>
      <c r="I8" t="n">
        <v>2.2</v>
      </c>
      <c r="J8" t="n">
        <v>1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2</v>
      </c>
      <c r="T8" t="n">
        <v>3</v>
      </c>
      <c r="U8" t="n">
        <v>0</v>
      </c>
      <c r="V8" s="2" t="inlineStr">
        <is>
          <t>Knärot
Stor revmossa</t>
        </is>
      </c>
      <c r="W8">
        <f>HYPERLINK("https://klasma.github.io/Logging_1463/artfynd/A 12807-2023 artfynd.xlsx", "A 12807-2023")</f>
        <v/>
      </c>
      <c r="X8">
        <f>HYPERLINK("https://klasma.github.io/Logging_1463/kartor/A 12807-2023 karta.png", "A 12807-2023")</f>
        <v/>
      </c>
      <c r="Y8">
        <f>HYPERLINK("https://klasma.github.io/Logging_1463/kartor_geotiff/A 12807-2023 georefererad karta.tif", "A 12807-2023")</f>
        <v/>
      </c>
      <c r="Z8">
        <f>HYPERLINK("https://klasma.github.io/Logging_1463/knärot/A 12807-2023 karta knärot.png", "A 12807-2023")</f>
        <v/>
      </c>
      <c r="AA8">
        <f>HYPERLINK("https://klasma.github.io/Logging_1463/klagomål/A 12807-2023 FSC-klagomål.docx", "A 12807-2023")</f>
        <v/>
      </c>
      <c r="AB8">
        <f>HYPERLINK("https://klasma.github.io/Logging_1463/klagomålsmail/A 12807-2023 FSC-klagomål mail.docx", "A 12807-2023")</f>
        <v/>
      </c>
      <c r="AC8">
        <f>HYPERLINK("https://klasma.github.io/Logging_1463/tillsyn/A 12807-2023 tillsynsbegäran.docx", "A 12807-2023")</f>
        <v/>
      </c>
      <c r="AD8">
        <f>HYPERLINK("https://klasma.github.io/Logging_1463/tillsynsmail/A 12807-2023 tillsynsbegäran mail.docx", "A 12807-2023")</f>
        <v/>
      </c>
    </row>
    <row r="9" ht="15" customHeight="1">
      <c r="A9" t="inlineStr">
        <is>
          <t>A 59419-2024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45638</v>
      </c>
      <c r="E9" s="1" t="n">
        <v>46326</v>
      </c>
      <c r="F9" t="inlineStr">
        <is>
          <t>VÄSTRA GÖTALANDS LÄN</t>
        </is>
      </c>
      <c r="G9" t="inlineStr">
        <is>
          <t>MARK</t>
        </is>
      </c>
      <c r="I9" t="n">
        <v>1.8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Gulsparv
Vanlig groda</t>
        </is>
      </c>
      <c r="W9">
        <f>HYPERLINK("https://klasma.github.io/Logging_1463/artfynd/A 59419-2024 artfynd.xlsx", "A 59419-2024")</f>
        <v/>
      </c>
      <c r="X9">
        <f>HYPERLINK("https://klasma.github.io/Logging_1463/kartor/A 59419-2024 karta.png", "A 59419-2024")</f>
        <v/>
      </c>
      <c r="Y9">
        <f>HYPERLINK("https://klasma.github.io/Logging_1463/kartor_geotiff/A 59419-2024 georefererad karta.tif", "A 59419-2024")</f>
        <v/>
      </c>
      <c r="AA9">
        <f>HYPERLINK("https://klasma.github.io/Logging_1463/klagomål/A 59419-2024 FSC-klagomål.docx", "A 59419-2024")</f>
        <v/>
      </c>
      <c r="AB9">
        <f>HYPERLINK("https://klasma.github.io/Logging_1463/klagomålsmail/A 59419-2024 FSC-klagomål mail.docx", "A 59419-2024")</f>
        <v/>
      </c>
      <c r="AC9">
        <f>HYPERLINK("https://klasma.github.io/Logging_1463/tillsyn/A 59419-2024 tillsynsbegäran.docx", "A 59419-2024")</f>
        <v/>
      </c>
      <c r="AD9">
        <f>HYPERLINK("https://klasma.github.io/Logging_1463/tillsynsmail/A 59419-2024 tillsynsbegäran mail.docx", "A 59419-2024")</f>
        <v/>
      </c>
      <c r="AE9">
        <f>HYPERLINK("https://klasma.github.io/Logging_1463/fåglar/A 59419-2024 prioriterade fågelarter.docx", "A 59419-2024")</f>
        <v/>
      </c>
    </row>
    <row r="10" ht="15" customHeight="1">
      <c r="A10" t="inlineStr">
        <is>
          <t>A 6850-2024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45342</v>
      </c>
      <c r="E10" s="1" t="n">
        <v>46326</v>
      </c>
      <c r="F10" t="inlineStr">
        <is>
          <t>VÄSTRA GÖTALANDS LÄN</t>
        </is>
      </c>
      <c r="G10" t="inlineStr">
        <is>
          <t>MARK</t>
        </is>
      </c>
      <c r="I10" t="n">
        <v>6.4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2</v>
      </c>
      <c r="T10" t="n">
        <v>2</v>
      </c>
      <c r="U10" t="n">
        <v>2</v>
      </c>
      <c r="V10" s="2" t="inlineStr">
        <is>
          <t>Brunfläckig pärlemorfjäril
Trana</t>
        </is>
      </c>
      <c r="W10">
        <f>HYPERLINK("https://klasma.github.io/Logging_1463/artfynd/A 6850-2024 artfynd.xlsx", "A 6850-2024")</f>
        <v/>
      </c>
      <c r="X10">
        <f>HYPERLINK("https://klasma.github.io/Logging_1463/kartor/A 6850-2024 karta.png", "A 6850-2024")</f>
        <v/>
      </c>
      <c r="Y10">
        <f>HYPERLINK("https://klasma.github.io/Logging_1463/kartor_geotiff/A 6850-2024 georefererad karta.tif", "A 6850-2024")</f>
        <v/>
      </c>
      <c r="AA10">
        <f>HYPERLINK("https://klasma.github.io/Logging_1463/klagomål/A 6850-2024 FSC-klagomål.docx", "A 6850-2024")</f>
        <v/>
      </c>
      <c r="AB10">
        <f>HYPERLINK("https://klasma.github.io/Logging_1463/klagomålsmail/A 6850-2024 FSC-klagomål mail.docx", "A 6850-2024")</f>
        <v/>
      </c>
      <c r="AC10">
        <f>HYPERLINK("https://klasma.github.io/Logging_1463/tillsyn/A 6850-2024 tillsynsbegäran.docx", "A 6850-2024")</f>
        <v/>
      </c>
      <c r="AD10">
        <f>HYPERLINK("https://klasma.github.io/Logging_1463/tillsynsmail/A 6850-2024 tillsynsbegäran mail.docx", "A 6850-2024")</f>
        <v/>
      </c>
      <c r="AE10">
        <f>HYPERLINK("https://klasma.github.io/Logging_1463/fåglar/A 6850-2024 prioriterade fågelarter.docx", "A 6850-2024")</f>
        <v/>
      </c>
    </row>
    <row r="11" ht="15" customHeight="1">
      <c r="A11" t="inlineStr">
        <is>
          <t>A 55856-2025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45973</v>
      </c>
      <c r="E11" s="1" t="n">
        <v>46326</v>
      </c>
      <c r="F11" t="inlineStr">
        <is>
          <t>VÄSTRA GÖTALANDS LÄN</t>
        </is>
      </c>
      <c r="G11" t="inlineStr">
        <is>
          <t>MARK</t>
        </is>
      </c>
      <c r="I11" t="n">
        <v>5.1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9</v>
      </c>
      <c r="U11" t="n">
        <v>0</v>
      </c>
      <c r="V11" s="2" t="inlineStr">
        <is>
          <t>Spillkråka
Kungsfågel</t>
        </is>
      </c>
      <c r="W11">
        <f>HYPERLINK("https://klasma.github.io/Logging_1463/artfynd/A 55856-2025 artfynd.xlsx", "A 55856-2025")</f>
        <v/>
      </c>
      <c r="X11">
        <f>HYPERLINK("https://klasma.github.io/Logging_1463/kartor/A 55856-2025 karta.png", "A 55856-2025")</f>
        <v/>
      </c>
      <c r="Y11">
        <f>HYPERLINK("https://klasma.github.io/Logging_1463/kartor_geotiff/A 55856-2025 georefererad karta.tif", "A 55856-2025")</f>
        <v/>
      </c>
      <c r="AA11">
        <f>HYPERLINK("https://klasma.github.io/Logging_1463/klagomål/A 55856-2025 FSC-klagomål.docx", "A 55856-2025")</f>
        <v/>
      </c>
      <c r="AB11">
        <f>HYPERLINK("https://klasma.github.io/Logging_1463/klagomålsmail/A 55856-2025 FSC-klagomål mail.docx", "A 55856-2025")</f>
        <v/>
      </c>
      <c r="AC11">
        <f>HYPERLINK("https://klasma.github.io/Logging_1463/tillsyn/A 55856-2025 tillsynsbegäran.docx", "A 55856-2025")</f>
        <v/>
      </c>
      <c r="AD11">
        <f>HYPERLINK("https://klasma.github.io/Logging_1463/tillsynsmail/A 55856-2025 tillsynsbegäran mail.docx", "A 55856-2025")</f>
        <v/>
      </c>
      <c r="AE11">
        <f>HYPERLINK("https://klasma.github.io/Logging_1463/fåglar/A 55856-2025 prioriterade fågelarter.docx", "A 55856-2025")</f>
        <v/>
      </c>
    </row>
    <row r="12" ht="15" customHeight="1">
      <c r="A12" t="inlineStr">
        <is>
          <t>A 61493-2025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46001</v>
      </c>
      <c r="E12" s="1" t="n">
        <v>46326</v>
      </c>
      <c r="F12" t="inlineStr">
        <is>
          <t>VÄSTRA GÖTALANDS LÄN</t>
        </is>
      </c>
      <c r="G12" t="inlineStr">
        <is>
          <t>MARK</t>
        </is>
      </c>
      <c r="I12" t="n">
        <v>12.5</v>
      </c>
      <c r="J12" t="n">
        <v>1</v>
      </c>
      <c r="K12" t="n">
        <v>1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2</v>
      </c>
      <c r="T12" t="n">
        <v>5</v>
      </c>
      <c r="U12" t="n">
        <v>1</v>
      </c>
      <c r="V12" s="2" t="inlineStr">
        <is>
          <t>Knärot
Blomkålssvamp</t>
        </is>
      </c>
      <c r="W12">
        <f>HYPERLINK("https://klasma.github.io/Logging_1463/artfynd/A 61493-2025 artfynd.xlsx", "A 61493-2025")</f>
        <v/>
      </c>
      <c r="X12">
        <f>HYPERLINK("https://klasma.github.io/Logging_1463/kartor/A 61493-2025 karta.png", "A 61493-2025")</f>
        <v/>
      </c>
      <c r="Y12">
        <f>HYPERLINK("https://klasma.github.io/Logging_1463/kartor_geotiff/A 61493-2025 georefererad karta.tif", "A 61493-2025")</f>
        <v/>
      </c>
      <c r="Z12">
        <f>HYPERLINK("https://klasma.github.io/Logging_1463/knärot/A 61493-2025 karta knärot.png", "A 61493-2025")</f>
        <v/>
      </c>
      <c r="AA12">
        <f>HYPERLINK("https://klasma.github.io/Logging_1463/klagomål/A 61493-2025 FSC-klagomål.docx", "A 61493-2025")</f>
        <v/>
      </c>
      <c r="AB12">
        <f>HYPERLINK("https://klasma.github.io/Logging_1463/klagomålsmail/A 61493-2025 FSC-klagomål mail.docx", "A 61493-2025")</f>
        <v/>
      </c>
      <c r="AC12">
        <f>HYPERLINK("https://klasma.github.io/Logging_1463/tillsyn/A 61493-2025 tillsynsbegäran.docx", "A 61493-2025")</f>
        <v/>
      </c>
      <c r="AD12">
        <f>HYPERLINK("https://klasma.github.io/Logging_1463/tillsynsmail/A 61493-2025 tillsynsbegäran mail.docx", "A 61493-2025")</f>
        <v/>
      </c>
    </row>
    <row r="13" ht="15" customHeight="1">
      <c r="A13" t="inlineStr">
        <is>
          <t>A 62079-2025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46006</v>
      </c>
      <c r="E13" s="1" t="n">
        <v>46326</v>
      </c>
      <c r="F13" t="inlineStr">
        <is>
          <t>VÄSTRA GÖTALANDS LÄN</t>
        </is>
      </c>
      <c r="G13" t="inlineStr">
        <is>
          <t>MARK</t>
        </is>
      </c>
      <c r="I13" t="n">
        <v>9.800000000000001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t="n">
        <v>1</v>
      </c>
      <c r="S13" t="n">
        <v>2</v>
      </c>
      <c r="T13" t="n">
        <v>4</v>
      </c>
      <c r="U13" t="n">
        <v>0</v>
      </c>
      <c r="V13" s="2" t="inlineStr">
        <is>
          <t>Ål
Öring</t>
        </is>
      </c>
      <c r="W13">
        <f>HYPERLINK("https://klasma.github.io/Logging_1463/artfynd/A 62079-2025 artfynd.xlsx", "A 62079-2025")</f>
        <v/>
      </c>
      <c r="X13">
        <f>HYPERLINK("https://klasma.github.io/Logging_1463/kartor/A 62079-2025 karta.png", "A 62079-2025")</f>
        <v/>
      </c>
      <c r="Y13">
        <f>HYPERLINK("https://klasma.github.io/Logging_1463/kartor_geotiff/A 62079-2025 georefererad karta.tif", "A 62079-2025")</f>
        <v/>
      </c>
      <c r="AA13">
        <f>HYPERLINK("https://klasma.github.io/Logging_1463/klagomål/A 62079-2025 FSC-klagomål.docx", "A 62079-2025")</f>
        <v/>
      </c>
      <c r="AB13">
        <f>HYPERLINK("https://klasma.github.io/Logging_1463/klagomålsmail/A 62079-2025 FSC-klagomål mail.docx", "A 62079-2025")</f>
        <v/>
      </c>
      <c r="AC13">
        <f>HYPERLINK("https://klasma.github.io/Logging_1463/tillsyn/A 62079-2025 tillsynsbegäran.docx", "A 62079-2025")</f>
        <v/>
      </c>
      <c r="AD13">
        <f>HYPERLINK("https://klasma.github.io/Logging_1463/tillsynsmail/A 62079-2025 tillsynsbegäran mail.docx", "A 62079-2025")</f>
        <v/>
      </c>
    </row>
    <row r="14" ht="15" customHeight="1">
      <c r="A14" t="inlineStr">
        <is>
          <t>A 36783-2023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45154</v>
      </c>
      <c r="E14" s="1" t="n">
        <v>46326</v>
      </c>
      <c r="F14" t="inlineStr">
        <is>
          <t>VÄSTRA GÖTALANDS LÄN</t>
        </is>
      </c>
      <c r="G14" t="inlineStr">
        <is>
          <t>MARK</t>
        </is>
      </c>
      <c r="I14" t="n">
        <v>5.4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t="n">
        <v>1</v>
      </c>
      <c r="S14" t="n">
        <v>2</v>
      </c>
      <c r="T14" t="n">
        <v>2</v>
      </c>
      <c r="U14" t="n">
        <v>2</v>
      </c>
      <c r="V14" s="2" t="inlineStr">
        <is>
          <t>Ål
Öring</t>
        </is>
      </c>
      <c r="W14">
        <f>HYPERLINK("https://klasma.github.io/Logging_1463/artfynd/A 36783-2023 artfynd.xlsx", "A 36783-2023")</f>
        <v/>
      </c>
      <c r="X14">
        <f>HYPERLINK("https://klasma.github.io/Logging_1463/kartor/A 36783-2023 karta.png", "A 36783-2023")</f>
        <v/>
      </c>
      <c r="Y14">
        <f>HYPERLINK("https://klasma.github.io/Logging_1463/kartor_geotiff/A 36783-2023 georefererad karta.tif", "A 36783-2023")</f>
        <v/>
      </c>
      <c r="AA14">
        <f>HYPERLINK("https://klasma.github.io/Logging_1463/klagomål/A 36783-2023 FSC-klagomål.docx", "A 36783-2023")</f>
        <v/>
      </c>
      <c r="AB14">
        <f>HYPERLINK("https://klasma.github.io/Logging_1463/klagomålsmail/A 36783-2023 FSC-klagomål mail.docx", "A 36783-2023")</f>
        <v/>
      </c>
      <c r="AC14">
        <f>HYPERLINK("https://klasma.github.io/Logging_1463/tillsyn/A 36783-2023 tillsynsbegäran.docx", "A 36783-2023")</f>
        <v/>
      </c>
      <c r="AD14">
        <f>HYPERLINK("https://klasma.github.io/Logging_1463/tillsynsmail/A 36783-2023 tillsynsbegäran mail.docx", "A 36783-2023")</f>
        <v/>
      </c>
    </row>
    <row r="15" ht="15" customHeight="1">
      <c r="A15" t="inlineStr">
        <is>
          <t>A 34166-2023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45137</v>
      </c>
      <c r="E15" s="1" t="n">
        <v>46326</v>
      </c>
      <c r="F15" t="inlineStr">
        <is>
          <t>VÄSTRA GÖTALANDS LÄN</t>
        </is>
      </c>
      <c r="G15" t="inlineStr">
        <is>
          <t>MARK</t>
        </is>
      </c>
      <c r="I15" t="n">
        <v>5.1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1</v>
      </c>
      <c r="V15" s="2" t="inlineStr">
        <is>
          <t>Hässleklocka
Hasselmus</t>
        </is>
      </c>
      <c r="W15">
        <f>HYPERLINK("https://klasma.github.io/Logging_1463/artfynd/A 34166-2023 artfynd.xlsx", "A 34166-2023")</f>
        <v/>
      </c>
      <c r="X15">
        <f>HYPERLINK("https://klasma.github.io/Logging_1463/kartor/A 34166-2023 karta.png", "A 34166-2023")</f>
        <v/>
      </c>
      <c r="Y15">
        <f>HYPERLINK("https://klasma.github.io/Logging_1463/kartor_geotiff/A 34166-2023 georefererad karta.tif", "A 34166-2023")</f>
        <v/>
      </c>
      <c r="AA15">
        <f>HYPERLINK("https://klasma.github.io/Logging_1463/klagomål/A 34166-2023 FSC-klagomål.docx", "A 34166-2023")</f>
        <v/>
      </c>
      <c r="AB15">
        <f>HYPERLINK("https://klasma.github.io/Logging_1463/klagomålsmail/A 34166-2023 FSC-klagomål mail.docx", "A 34166-2023")</f>
        <v/>
      </c>
      <c r="AC15">
        <f>HYPERLINK("https://klasma.github.io/Logging_1463/tillsyn/A 34166-2023 tillsynsbegäran.docx", "A 34166-2023")</f>
        <v/>
      </c>
      <c r="AD15">
        <f>HYPERLINK("https://klasma.github.io/Logging_1463/tillsynsmail/A 34166-2023 tillsynsbegäran mail.docx", "A 34166-2023")</f>
        <v/>
      </c>
    </row>
    <row r="16" ht="15" customHeight="1">
      <c r="A16" t="inlineStr">
        <is>
          <t>A 54675-2024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45618</v>
      </c>
      <c r="E16" s="1" t="n">
        <v>46326</v>
      </c>
      <c r="F16" t="inlineStr">
        <is>
          <t>VÄSTRA GÖTALANDS LÄN</t>
        </is>
      </c>
      <c r="G16" t="inlineStr">
        <is>
          <t>MARK</t>
        </is>
      </c>
      <c r="I16" t="n">
        <v>2.5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1</v>
      </c>
      <c r="V16" s="2" t="inlineStr">
        <is>
          <t>Lilavaxing
Huggorm</t>
        </is>
      </c>
      <c r="W16">
        <f>HYPERLINK("https://klasma.github.io/Logging_1463/artfynd/A 54675-2024 artfynd.xlsx", "A 54675-2024")</f>
        <v/>
      </c>
      <c r="X16">
        <f>HYPERLINK("https://klasma.github.io/Logging_1463/kartor/A 54675-2024 karta.png", "A 54675-2024")</f>
        <v/>
      </c>
      <c r="Y16">
        <f>HYPERLINK("https://klasma.github.io/Logging_1463/kartor_geotiff/A 54675-2024 georefererad karta.tif", "A 54675-2024")</f>
        <v/>
      </c>
      <c r="AA16">
        <f>HYPERLINK("https://klasma.github.io/Logging_1463/klagomål/A 54675-2024 FSC-klagomål.docx", "A 54675-2024")</f>
        <v/>
      </c>
      <c r="AB16">
        <f>HYPERLINK("https://klasma.github.io/Logging_1463/klagomålsmail/A 54675-2024 FSC-klagomål mail.docx", "A 54675-2024")</f>
        <v/>
      </c>
      <c r="AC16">
        <f>HYPERLINK("https://klasma.github.io/Logging_1463/tillsyn/A 54675-2024 tillsynsbegäran.docx", "A 54675-2024")</f>
        <v/>
      </c>
      <c r="AD16">
        <f>HYPERLINK("https://klasma.github.io/Logging_1463/tillsynsmail/A 54675-2024 tillsynsbegäran mail.docx", "A 54675-2024")</f>
        <v/>
      </c>
    </row>
    <row r="17" ht="15" customHeight="1">
      <c r="A17" t="inlineStr">
        <is>
          <t>A 3653-2023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44950</v>
      </c>
      <c r="E17" s="1" t="n">
        <v>46326</v>
      </c>
      <c r="F17" t="inlineStr">
        <is>
          <t>VÄSTRA GÖTALANDS LÄN</t>
        </is>
      </c>
      <c r="G17" t="inlineStr">
        <is>
          <t>MARK</t>
        </is>
      </c>
      <c r="H17" t="inlineStr">
        <is>
          <t>Sveaskog</t>
        </is>
      </c>
      <c r="I17" t="n">
        <v>1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Slemjordtunga
Vitvaxing agg.</t>
        </is>
      </c>
      <c r="W17">
        <f>HYPERLINK("https://klasma.github.io/Logging_1463/artfynd/A 3653-2023 artfynd.xlsx", "A 3653-2023")</f>
        <v/>
      </c>
      <c r="X17">
        <f>HYPERLINK("https://klasma.github.io/Logging_1463/kartor/A 3653-2023 karta.png", "A 3653-2023")</f>
        <v/>
      </c>
      <c r="Y17">
        <f>HYPERLINK("https://klasma.github.io/Logging_1463/kartor_geotiff/A 3653-2023 georefererad karta.tif", "A 3653-2023")</f>
        <v/>
      </c>
      <c r="AA17">
        <f>HYPERLINK("https://klasma.github.io/Logging_1463/klagomål/A 3653-2023 FSC-klagomål.docx", "A 3653-2023")</f>
        <v/>
      </c>
      <c r="AB17">
        <f>HYPERLINK("https://klasma.github.io/Logging_1463/klagomålsmail/A 3653-2023 FSC-klagomål mail.docx", "A 3653-2023")</f>
        <v/>
      </c>
      <c r="AC17">
        <f>HYPERLINK("https://klasma.github.io/Logging_1463/tillsyn/A 3653-2023 tillsynsbegäran.docx", "A 3653-2023")</f>
        <v/>
      </c>
      <c r="AD17">
        <f>HYPERLINK("https://klasma.github.io/Logging_1463/tillsynsmail/A 3653-2023 tillsynsbegäran mail.docx", "A 3653-2023")</f>
        <v/>
      </c>
    </row>
    <row r="18" ht="15" customHeight="1">
      <c r="A18" t="inlineStr">
        <is>
          <t>A 2366-2025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45673</v>
      </c>
      <c r="E18" s="1" t="n">
        <v>46326</v>
      </c>
      <c r="F18" t="inlineStr">
        <is>
          <t>VÄSTRA GÖTALANDS LÄN</t>
        </is>
      </c>
      <c r="G18" t="inlineStr">
        <is>
          <t>MARK</t>
        </is>
      </c>
      <c r="I18" t="n">
        <v>2.8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Fällmossa
Guldlockmossa</t>
        </is>
      </c>
      <c r="W18">
        <f>HYPERLINK("https://klasma.github.io/Logging_1463/artfynd/A 2366-2025 artfynd.xlsx", "A 2366-2025")</f>
        <v/>
      </c>
      <c r="X18">
        <f>HYPERLINK("https://klasma.github.io/Logging_1463/kartor/A 2366-2025 karta.png", "A 2366-2025")</f>
        <v/>
      </c>
      <c r="Y18">
        <f>HYPERLINK("https://klasma.github.io/Logging_1463/kartor_geotiff/A 2366-2025 georefererad karta.tif", "A 2366-2025")</f>
        <v/>
      </c>
      <c r="AA18">
        <f>HYPERLINK("https://klasma.github.io/Logging_1463/klagomål/A 2366-2025 FSC-klagomål.docx", "A 2366-2025")</f>
        <v/>
      </c>
      <c r="AB18">
        <f>HYPERLINK("https://klasma.github.io/Logging_1463/klagomålsmail/A 2366-2025 FSC-klagomål mail.docx", "A 2366-2025")</f>
        <v/>
      </c>
      <c r="AC18">
        <f>HYPERLINK("https://klasma.github.io/Logging_1463/tillsyn/A 2366-2025 tillsynsbegäran.docx", "A 2366-2025")</f>
        <v/>
      </c>
      <c r="AD18">
        <f>HYPERLINK("https://klasma.github.io/Logging_1463/tillsynsmail/A 2366-2025 tillsynsbegäran mail.docx", "A 2366-2025")</f>
        <v/>
      </c>
    </row>
    <row r="19" ht="15" customHeight="1">
      <c r="A19" t="inlineStr">
        <is>
          <t>A 36892-2026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46273</v>
      </c>
      <c r="E19" s="1" t="n">
        <v>46326</v>
      </c>
      <c r="F19" t="inlineStr">
        <is>
          <t>VÄSTRA GÖTALANDS LÄN</t>
        </is>
      </c>
      <c r="G19" t="inlineStr">
        <is>
          <t>MARK</t>
        </is>
      </c>
      <c r="I19" t="n">
        <v>1.2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3</v>
      </c>
      <c r="U19" t="n">
        <v>0</v>
      </c>
      <c r="V19" s="2" t="inlineStr">
        <is>
          <t>Vanlig groda
Vanlig padda</t>
        </is>
      </c>
      <c r="W19">
        <f>HYPERLINK("https://klasma.github.io/Logging_1463/artfynd/A 36892-2026 artfynd.xlsx", "A 36892-2026")</f>
        <v/>
      </c>
      <c r="X19">
        <f>HYPERLINK("https://klasma.github.io/Logging_1463/kartor/A 36892-2026 karta.png", "A 36892-2026")</f>
        <v/>
      </c>
      <c r="Y19">
        <f>HYPERLINK("https://klasma.github.io/Logging_1463/kartor_geotiff/A 36892-2026 georefererad karta.tif", "A 36892-2026")</f>
        <v/>
      </c>
      <c r="AA19">
        <f>HYPERLINK("https://klasma.github.io/Logging_1463/klagomål/A 36892-2026 FSC-klagomål.docx", "A 36892-2026")</f>
        <v/>
      </c>
      <c r="AB19">
        <f>HYPERLINK("https://klasma.github.io/Logging_1463/klagomålsmail/A 36892-2026 FSC-klagomål mail.docx", "A 36892-2026")</f>
        <v/>
      </c>
      <c r="AC19">
        <f>HYPERLINK("https://klasma.github.io/Logging_1463/tillsyn/A 36892-2026 tillsynsbegäran.docx", "A 36892-2026")</f>
        <v/>
      </c>
      <c r="AD19">
        <f>HYPERLINK("https://klasma.github.io/Logging_1463/tillsynsmail/A 36892-2026 tillsynsbegäran mail.docx", "A 36892-2026")</f>
        <v/>
      </c>
    </row>
    <row r="20" ht="15" customHeight="1">
      <c r="A20" t="inlineStr">
        <is>
          <t>S 2288-2026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46266</v>
      </c>
      <c r="E20" s="1" t="n">
        <v>46326</v>
      </c>
      <c r="F20" t="inlineStr">
        <is>
          <t>VÄSTRA GÖTALANDS LÄN</t>
        </is>
      </c>
      <c r="G20" t="inlineStr">
        <is>
          <t>MARK</t>
        </is>
      </c>
      <c r="I20" t="n">
        <v>0.1</v>
      </c>
      <c r="J20" t="n">
        <v>0</v>
      </c>
      <c r="K20" t="n">
        <v>0</v>
      </c>
      <c r="L20" t="n">
        <v>0</v>
      </c>
      <c r="M20" t="n">
        <v>2</v>
      </c>
      <c r="N20" t="n">
        <v>0</v>
      </c>
      <c r="O20" t="n">
        <v>0</v>
      </c>
      <c r="P20" t="n">
        <v>0</v>
      </c>
      <c r="Q20" t="n">
        <v>2</v>
      </c>
      <c r="R20" t="n">
        <v>2</v>
      </c>
      <c r="S20" t="n">
        <v>2</v>
      </c>
      <c r="T20" t="n">
        <v>3</v>
      </c>
      <c r="U20" t="n">
        <v>0</v>
      </c>
      <c r="V20" s="2" t="inlineStr">
        <is>
          <t>Sexfläckig bastardsvärmare
Violettkantad guldvinge</t>
        </is>
      </c>
      <c r="W20">
        <f>HYPERLINK("https://klasma.github.io/Logging_1463/artfynd/S 2288-2026 artfynd.xlsx", "S 2288-2026")</f>
        <v/>
      </c>
      <c r="X20">
        <f>HYPERLINK("https://klasma.github.io/Logging_1463/kartor/S 2288-2026 karta.png", "S 2288-2026")</f>
        <v/>
      </c>
      <c r="Y20">
        <f>HYPERLINK("https://klasma.github.io/Logging_1463/kartor_geotiff/S 2288-2026 georefererad karta.tif", "S 2288-2026")</f>
        <v/>
      </c>
      <c r="AA20">
        <f>HYPERLINK("https://klasma.github.io/Logging_1463/klagomål/S 2288-2026 FSC-klagomål.docx", "S 2288-2026")</f>
        <v/>
      </c>
      <c r="AB20">
        <f>HYPERLINK("https://klasma.github.io/Logging_1463/klagomålsmail/S 2288-2026 FSC-klagomål mail.docx", "S 2288-2026")</f>
        <v/>
      </c>
      <c r="AC20">
        <f>HYPERLINK("https://klasma.github.io/Logging_1463/tillsyn/S 2288-2026 tillsynsbegäran.docx", "S 2288-2026")</f>
        <v/>
      </c>
      <c r="AD20">
        <f>HYPERLINK("https://klasma.github.io/Logging_1463/tillsynsmail/S 2288-2026 tillsynsbegäran mail.docx", "S 2288-2026")</f>
        <v/>
      </c>
    </row>
    <row r="21" ht="15" customHeight="1">
      <c r="A21" t="inlineStr">
        <is>
          <t>A 34284-2022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44792</v>
      </c>
      <c r="E21" s="1" t="n">
        <v>46326</v>
      </c>
      <c r="F21" t="inlineStr">
        <is>
          <t>VÄSTRA GÖTALANDS LÄN</t>
        </is>
      </c>
      <c r="G21" t="inlineStr">
        <is>
          <t>MARK</t>
        </is>
      </c>
      <c r="I21" t="n">
        <v>3.4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Hasselmus</t>
        </is>
      </c>
      <c r="W21">
        <f>HYPERLINK("https://klasma.github.io/Logging_1463/artfynd/A 34284-2022 artfynd.xlsx", "A 34284-2022")</f>
        <v/>
      </c>
      <c r="X21">
        <f>HYPERLINK("https://klasma.github.io/Logging_1463/kartor/A 34284-2022 karta.png", "A 34284-2022")</f>
        <v/>
      </c>
      <c r="Y21">
        <f>HYPERLINK("https://klasma.github.io/Logging_1463/kartor_geotiff/A 34284-2022 georefererad karta.tif", "A 34284-2022")</f>
        <v/>
      </c>
      <c r="AA21">
        <f>HYPERLINK("https://klasma.github.io/Logging_1463/klagomål/A 34284-2022 FSC-klagomål.docx", "A 34284-2022")</f>
        <v/>
      </c>
      <c r="AB21">
        <f>HYPERLINK("https://klasma.github.io/Logging_1463/klagomålsmail/A 34284-2022 FSC-klagomål mail.docx", "A 34284-2022")</f>
        <v/>
      </c>
      <c r="AC21">
        <f>HYPERLINK("https://klasma.github.io/Logging_1463/tillsyn/A 34284-2022 tillsynsbegäran.docx", "A 34284-2022")</f>
        <v/>
      </c>
      <c r="AD21">
        <f>HYPERLINK("https://klasma.github.io/Logging_1463/tillsynsmail/A 34284-2022 tillsynsbegäran mail.docx", "A 34284-2022")</f>
        <v/>
      </c>
    </row>
    <row r="22" ht="15" customHeight="1">
      <c r="A22" t="inlineStr">
        <is>
          <t>A 45735-2022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44846</v>
      </c>
      <c r="E22" s="1" t="n">
        <v>46326</v>
      </c>
      <c r="F22" t="inlineStr">
        <is>
          <t>VÄSTRA GÖTALANDS LÄN</t>
        </is>
      </c>
      <c r="G22" t="inlineStr">
        <is>
          <t>MARK</t>
        </is>
      </c>
      <c r="I22" t="n">
        <v>6.6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Blodticka</t>
        </is>
      </c>
      <c r="W22">
        <f>HYPERLINK("https://klasma.github.io/Logging_1463/artfynd/A 45735-2022 artfynd.xlsx", "A 45735-2022")</f>
        <v/>
      </c>
      <c r="X22">
        <f>HYPERLINK("https://klasma.github.io/Logging_1463/kartor/A 45735-2022 karta.png", "A 45735-2022")</f>
        <v/>
      </c>
      <c r="Y22">
        <f>HYPERLINK("https://klasma.github.io/Logging_1463/kartor_geotiff/A 45735-2022 georefererad karta.tif", "A 45735-2022")</f>
        <v/>
      </c>
      <c r="AA22">
        <f>HYPERLINK("https://klasma.github.io/Logging_1463/klagomål/A 45735-2022 FSC-klagomål.docx", "A 45735-2022")</f>
        <v/>
      </c>
      <c r="AB22">
        <f>HYPERLINK("https://klasma.github.io/Logging_1463/klagomålsmail/A 45735-2022 FSC-klagomål mail.docx", "A 45735-2022")</f>
        <v/>
      </c>
      <c r="AC22">
        <f>HYPERLINK("https://klasma.github.io/Logging_1463/tillsyn/A 45735-2022 tillsynsbegäran.docx", "A 45735-2022")</f>
        <v/>
      </c>
      <c r="AD22">
        <f>HYPERLINK("https://klasma.github.io/Logging_1463/tillsynsmail/A 45735-2022 tillsynsbegäran mail.docx", "A 45735-2022")</f>
        <v/>
      </c>
    </row>
    <row r="23" ht="15" customHeight="1">
      <c r="A23" t="inlineStr">
        <is>
          <t>A 26050-2023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45091</v>
      </c>
      <c r="E23" s="1" t="n">
        <v>46326</v>
      </c>
      <c r="F23" t="inlineStr">
        <is>
          <t>VÄSTRA GÖTALANDS LÄN</t>
        </is>
      </c>
      <c r="G23" t="inlineStr">
        <is>
          <t>MARK</t>
        </is>
      </c>
      <c r="I23" t="n">
        <v>1.2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Blåsippa</t>
        </is>
      </c>
      <c r="W23">
        <f>HYPERLINK("https://klasma.github.io/Logging_1463/artfynd/A 26050-2023 artfynd.xlsx", "A 26050-2023")</f>
        <v/>
      </c>
      <c r="X23">
        <f>HYPERLINK("https://klasma.github.io/Logging_1463/kartor/A 26050-2023 karta.png", "A 26050-2023")</f>
        <v/>
      </c>
      <c r="Y23">
        <f>HYPERLINK("https://klasma.github.io/Logging_1463/kartor_geotiff/A 26050-2023 georefererad karta.tif", "A 26050-2023")</f>
        <v/>
      </c>
      <c r="AA23">
        <f>HYPERLINK("https://klasma.github.io/Logging_1463/klagomål/A 26050-2023 FSC-klagomål.docx", "A 26050-2023")</f>
        <v/>
      </c>
      <c r="AB23">
        <f>HYPERLINK("https://klasma.github.io/Logging_1463/klagomålsmail/A 26050-2023 FSC-klagomål mail.docx", "A 26050-2023")</f>
        <v/>
      </c>
      <c r="AC23">
        <f>HYPERLINK("https://klasma.github.io/Logging_1463/tillsyn/A 26050-2023 tillsynsbegäran.docx", "A 26050-2023")</f>
        <v/>
      </c>
      <c r="AD23">
        <f>HYPERLINK("https://klasma.github.io/Logging_1463/tillsynsmail/A 26050-2023 tillsynsbegäran mail.docx", "A 26050-2023")</f>
        <v/>
      </c>
    </row>
    <row r="24" ht="15" customHeight="1">
      <c r="A24" t="inlineStr">
        <is>
          <t>A 363-2026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46027</v>
      </c>
      <c r="E24" s="1" t="n">
        <v>46326</v>
      </c>
      <c r="F24" t="inlineStr">
        <is>
          <t>VÄSTRA GÖTALANDS LÄN</t>
        </is>
      </c>
      <c r="G24" t="inlineStr">
        <is>
          <t>MARK</t>
        </is>
      </c>
      <c r="I24" t="n">
        <v>9.800000000000001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Öring</t>
        </is>
      </c>
      <c r="W24">
        <f>HYPERLINK("https://klasma.github.io/Logging_1463/artfynd/A 363-2026 artfynd.xlsx", "A 363-2026")</f>
        <v/>
      </c>
      <c r="X24">
        <f>HYPERLINK("https://klasma.github.io/Logging_1463/kartor/A 363-2026 karta.png", "A 363-2026")</f>
        <v/>
      </c>
      <c r="Y24">
        <f>HYPERLINK("https://klasma.github.io/Logging_1463/kartor_geotiff/A 363-2026 georefererad karta.tif", "A 363-2026")</f>
        <v/>
      </c>
      <c r="AA24">
        <f>HYPERLINK("https://klasma.github.io/Logging_1463/klagomål/A 363-2026 FSC-klagomål.docx", "A 363-2026")</f>
        <v/>
      </c>
      <c r="AB24">
        <f>HYPERLINK("https://klasma.github.io/Logging_1463/klagomålsmail/A 363-2026 FSC-klagomål mail.docx", "A 363-2026")</f>
        <v/>
      </c>
      <c r="AC24">
        <f>HYPERLINK("https://klasma.github.io/Logging_1463/tillsyn/A 363-2026 tillsynsbegäran.docx", "A 363-2026")</f>
        <v/>
      </c>
      <c r="AD24">
        <f>HYPERLINK("https://klasma.github.io/Logging_1463/tillsynsmail/A 363-2026 tillsynsbegäran mail.docx", "A 363-2026")</f>
        <v/>
      </c>
    </row>
    <row r="25" ht="15" customHeight="1">
      <c r="A25" t="inlineStr">
        <is>
          <t>A 40642-2025</t>
        </is>
      </c>
      <c r="B25" t="inlineStr">
        <is>
          <t>avverkningsanmälan</t>
        </is>
      </c>
      <c r="C25" t="inlineStr">
        <is>
          <t>Avverkning för att bevara och utveckla /försöksver</t>
        </is>
      </c>
      <c r="D25" s="1" t="n">
        <v>45896</v>
      </c>
      <c r="E25" s="1" t="n">
        <v>46326</v>
      </c>
      <c r="F25" t="inlineStr">
        <is>
          <t>VÄSTRA GÖTALANDS LÄN</t>
        </is>
      </c>
      <c r="G25" t="inlineStr">
        <is>
          <t>MARK</t>
        </is>
      </c>
      <c r="I25" t="n">
        <v>2.4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Fällmossa</t>
        </is>
      </c>
      <c r="W25">
        <f>HYPERLINK("https://klasma.github.io/Logging_1463/artfynd/A 40642-2025 artfynd.xlsx", "A 40642-2025")</f>
        <v/>
      </c>
      <c r="X25">
        <f>HYPERLINK("https://klasma.github.io/Logging_1463/kartor/A 40642-2025 karta.png", "A 40642-2025")</f>
        <v/>
      </c>
      <c r="Y25">
        <f>HYPERLINK("https://klasma.github.io/Logging_1463/kartor_geotiff/A 40642-2025 georefererad karta.tif", "A 40642-2025")</f>
        <v/>
      </c>
      <c r="AA25">
        <f>HYPERLINK("https://klasma.github.io/Logging_1463/klagomål/A 40642-2025 FSC-klagomål.docx", "A 40642-2025")</f>
        <v/>
      </c>
      <c r="AB25">
        <f>HYPERLINK("https://klasma.github.io/Logging_1463/klagomålsmail/A 40642-2025 FSC-klagomål mail.docx", "A 40642-2025")</f>
        <v/>
      </c>
      <c r="AC25">
        <f>HYPERLINK("https://klasma.github.io/Logging_1463/tillsyn/A 40642-2025 tillsynsbegäran.docx", "A 40642-2025")</f>
        <v/>
      </c>
      <c r="AD25">
        <f>HYPERLINK("https://klasma.github.io/Logging_1463/tillsynsmail/A 40642-2025 tillsynsbegäran mail.docx", "A 40642-2025")</f>
        <v/>
      </c>
    </row>
    <row r="26" ht="15" customHeight="1">
      <c r="A26" t="inlineStr">
        <is>
          <t>A 16997-2024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45412</v>
      </c>
      <c r="E26" s="1" t="n">
        <v>46326</v>
      </c>
      <c r="F26" t="inlineStr">
        <is>
          <t>VÄSTRA GÖTALANDS LÄN</t>
        </is>
      </c>
      <c r="G26" t="inlineStr">
        <is>
          <t>MARK</t>
        </is>
      </c>
      <c r="I26" t="n">
        <v>1.4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3</v>
      </c>
      <c r="U26" t="n">
        <v>3</v>
      </c>
      <c r="V26" s="2" t="inlineStr">
        <is>
          <t>Knärot</t>
        </is>
      </c>
      <c r="W26">
        <f>HYPERLINK("https://klasma.github.io/Logging_1463/artfynd/A 16997-2024 artfynd.xlsx", "A 16997-2024")</f>
        <v/>
      </c>
      <c r="X26">
        <f>HYPERLINK("https://klasma.github.io/Logging_1463/kartor/A 16997-2024 karta.png", "A 16997-2024")</f>
        <v/>
      </c>
      <c r="Y26">
        <f>HYPERLINK("https://klasma.github.io/Logging_1463/kartor_geotiff/A 16997-2024 georefererad karta.tif", "A 16997-2024")</f>
        <v/>
      </c>
      <c r="Z26">
        <f>HYPERLINK("https://klasma.github.io/Logging_1463/knärot/A 16997-2024 karta knärot.png", "A 16997-2024")</f>
        <v/>
      </c>
      <c r="AA26">
        <f>HYPERLINK("https://klasma.github.io/Logging_1463/klagomål/A 16997-2024 FSC-klagomål.docx", "A 16997-2024")</f>
        <v/>
      </c>
      <c r="AB26">
        <f>HYPERLINK("https://klasma.github.io/Logging_1463/klagomålsmail/A 16997-2024 FSC-klagomål mail.docx", "A 16997-2024")</f>
        <v/>
      </c>
      <c r="AC26">
        <f>HYPERLINK("https://klasma.github.io/Logging_1463/tillsyn/A 16997-2024 tillsynsbegäran.docx", "A 16997-2024")</f>
        <v/>
      </c>
      <c r="AD26">
        <f>HYPERLINK("https://klasma.github.io/Logging_1463/tillsynsmail/A 16997-2024 tillsynsbegäran mail.docx", "A 16997-2024")</f>
        <v/>
      </c>
    </row>
    <row r="27" ht="15" customHeight="1">
      <c r="A27" t="inlineStr">
        <is>
          <t>A 45268-2023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45191</v>
      </c>
      <c r="E27" s="1" t="n">
        <v>46326</v>
      </c>
      <c r="F27" t="inlineStr">
        <is>
          <t>VÄSTRA GÖTALANDS LÄN</t>
        </is>
      </c>
      <c r="G27" t="inlineStr">
        <is>
          <t>MARK</t>
        </is>
      </c>
      <c r="I27" t="n">
        <v>1.6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Kungsfågel</t>
        </is>
      </c>
      <c r="W27">
        <f>HYPERLINK("https://klasma.github.io/Logging_1463/artfynd/A 45268-2023 artfynd.xlsx", "A 45268-2023")</f>
        <v/>
      </c>
      <c r="X27">
        <f>HYPERLINK("https://klasma.github.io/Logging_1463/kartor/A 45268-2023 karta.png", "A 45268-2023")</f>
        <v/>
      </c>
      <c r="Y27">
        <f>HYPERLINK("https://klasma.github.io/Logging_1463/kartor_geotiff/A 45268-2023 georefererad karta.tif", "A 45268-2023")</f>
        <v/>
      </c>
      <c r="AA27">
        <f>HYPERLINK("https://klasma.github.io/Logging_1463/klagomål/A 45268-2023 FSC-klagomål.docx", "A 45268-2023")</f>
        <v/>
      </c>
      <c r="AB27">
        <f>HYPERLINK("https://klasma.github.io/Logging_1463/klagomålsmail/A 45268-2023 FSC-klagomål mail.docx", "A 45268-2023")</f>
        <v/>
      </c>
      <c r="AC27">
        <f>HYPERLINK("https://klasma.github.io/Logging_1463/tillsyn/A 45268-2023 tillsynsbegäran.docx", "A 45268-2023")</f>
        <v/>
      </c>
      <c r="AD27">
        <f>HYPERLINK("https://klasma.github.io/Logging_1463/tillsynsmail/A 45268-2023 tillsynsbegäran mail.docx", "A 45268-2023")</f>
        <v/>
      </c>
    </row>
    <row r="28" ht="15" customHeight="1">
      <c r="A28" t="inlineStr">
        <is>
          <t>A 40255-2023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45169</v>
      </c>
      <c r="E28" s="1" t="n">
        <v>46326</v>
      </c>
      <c r="F28" t="inlineStr">
        <is>
          <t>VÄSTRA GÖTALANDS LÄN</t>
        </is>
      </c>
      <c r="G28" t="inlineStr">
        <is>
          <t>MARK</t>
        </is>
      </c>
      <c r="I28" t="n">
        <v>1.4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6</v>
      </c>
      <c r="U28" t="n">
        <v>0</v>
      </c>
      <c r="V28" s="2" t="inlineStr">
        <is>
          <t>Revlummer</t>
        </is>
      </c>
      <c r="W28">
        <f>HYPERLINK("https://klasma.github.io/Logging_1463/artfynd/A 40255-2023 artfynd.xlsx", "A 40255-2023")</f>
        <v/>
      </c>
      <c r="X28">
        <f>HYPERLINK("https://klasma.github.io/Logging_1463/kartor/A 40255-2023 karta.png", "A 40255-2023")</f>
        <v/>
      </c>
      <c r="Y28">
        <f>HYPERLINK("https://klasma.github.io/Logging_1463/kartor_geotiff/A 40255-2023 georefererad karta.tif", "A 40255-2023")</f>
        <v/>
      </c>
      <c r="AA28">
        <f>HYPERLINK("https://klasma.github.io/Logging_1463/klagomål/A 40255-2023 FSC-klagomål.docx", "A 40255-2023")</f>
        <v/>
      </c>
      <c r="AB28">
        <f>HYPERLINK("https://klasma.github.io/Logging_1463/klagomålsmail/A 40255-2023 FSC-klagomål mail.docx", "A 40255-2023")</f>
        <v/>
      </c>
      <c r="AC28">
        <f>HYPERLINK("https://klasma.github.io/Logging_1463/tillsyn/A 40255-2023 tillsynsbegäran.docx", "A 40255-2023")</f>
        <v/>
      </c>
      <c r="AD28">
        <f>HYPERLINK("https://klasma.github.io/Logging_1463/tillsynsmail/A 40255-2023 tillsynsbegäran mail.docx", "A 40255-2023")</f>
        <v/>
      </c>
    </row>
    <row r="29" ht="15" customHeight="1">
      <c r="A29" t="inlineStr">
        <is>
          <t>A 61372-2025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46001</v>
      </c>
      <c r="E29" s="1" t="n">
        <v>46326</v>
      </c>
      <c r="F29" t="inlineStr">
        <is>
          <t>VÄSTRA GÖTALANDS LÄN</t>
        </is>
      </c>
      <c r="G29" t="inlineStr">
        <is>
          <t>MARK</t>
        </is>
      </c>
      <c r="I29" t="n">
        <v>7.3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Skogssvingel</t>
        </is>
      </c>
      <c r="W29">
        <f>HYPERLINK("https://klasma.github.io/Logging_1463/artfynd/A 61372-2025 artfynd.xlsx", "A 61372-2025")</f>
        <v/>
      </c>
      <c r="X29">
        <f>HYPERLINK("https://klasma.github.io/Logging_1463/kartor/A 61372-2025 karta.png", "A 61372-2025")</f>
        <v/>
      </c>
      <c r="Y29">
        <f>HYPERLINK("https://klasma.github.io/Logging_1463/kartor_geotiff/A 61372-2025 georefererad karta.tif", "A 61372-2025")</f>
        <v/>
      </c>
      <c r="AA29">
        <f>HYPERLINK("https://klasma.github.io/Logging_1463/klagomål/A 61372-2025 FSC-klagomål.docx", "A 61372-2025")</f>
        <v/>
      </c>
      <c r="AB29">
        <f>HYPERLINK("https://klasma.github.io/Logging_1463/klagomålsmail/A 61372-2025 FSC-klagomål mail.docx", "A 61372-2025")</f>
        <v/>
      </c>
      <c r="AC29">
        <f>HYPERLINK("https://klasma.github.io/Logging_1463/tillsyn/A 61372-2025 tillsynsbegäran.docx", "A 61372-2025")</f>
        <v/>
      </c>
      <c r="AD29">
        <f>HYPERLINK("https://klasma.github.io/Logging_1463/tillsynsmail/A 61372-2025 tillsynsbegäran mail.docx", "A 61372-2025")</f>
        <v/>
      </c>
    </row>
    <row r="30" ht="15" customHeight="1">
      <c r="A30" t="inlineStr">
        <is>
          <t>A 1634-2024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45306</v>
      </c>
      <c r="E30" s="1" t="n">
        <v>46326</v>
      </c>
      <c r="F30" t="inlineStr">
        <is>
          <t>VÄSTRA GÖTALANDS LÄN</t>
        </is>
      </c>
      <c r="G30" t="inlineStr">
        <is>
          <t>MARK</t>
        </is>
      </c>
      <c r="I30" t="n">
        <v>1.1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Blåsippa</t>
        </is>
      </c>
      <c r="W30">
        <f>HYPERLINK("https://klasma.github.io/Logging_1463/artfynd/A 1634-2024 artfynd.xlsx", "A 1634-2024")</f>
        <v/>
      </c>
      <c r="X30">
        <f>HYPERLINK("https://klasma.github.io/Logging_1463/kartor/A 1634-2024 karta.png", "A 1634-2024")</f>
        <v/>
      </c>
      <c r="Y30">
        <f>HYPERLINK("https://klasma.github.io/Logging_1463/kartor_geotiff/A 1634-2024 georefererad karta.tif", "A 1634-2024")</f>
        <v/>
      </c>
      <c r="AA30">
        <f>HYPERLINK("https://klasma.github.io/Logging_1463/klagomål/A 1634-2024 FSC-klagomål.docx", "A 1634-2024")</f>
        <v/>
      </c>
      <c r="AB30">
        <f>HYPERLINK("https://klasma.github.io/Logging_1463/klagomålsmail/A 1634-2024 FSC-klagomål mail.docx", "A 1634-2024")</f>
        <v/>
      </c>
      <c r="AC30">
        <f>HYPERLINK("https://klasma.github.io/Logging_1463/tillsyn/A 1634-2024 tillsynsbegäran.docx", "A 1634-2024")</f>
        <v/>
      </c>
      <c r="AD30">
        <f>HYPERLINK("https://klasma.github.io/Logging_1463/tillsynsmail/A 1634-2024 tillsynsbegäran mail.docx", "A 1634-2024")</f>
        <v/>
      </c>
    </row>
    <row r="31" ht="15" customHeight="1">
      <c r="A31" t="inlineStr">
        <is>
          <t>A 62725-2023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45271</v>
      </c>
      <c r="E31" s="1" t="n">
        <v>46326</v>
      </c>
      <c r="F31" t="inlineStr">
        <is>
          <t>VÄSTRA GÖTALANDS LÄN</t>
        </is>
      </c>
      <c r="G31" t="inlineStr">
        <is>
          <t>MARK</t>
        </is>
      </c>
      <c r="I31" t="n">
        <v>2.1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Blåsippa</t>
        </is>
      </c>
      <c r="W31">
        <f>HYPERLINK("https://klasma.github.io/Logging_1463/artfynd/A 62725-2023 artfynd.xlsx", "A 62725-2023")</f>
        <v/>
      </c>
      <c r="X31">
        <f>HYPERLINK("https://klasma.github.io/Logging_1463/kartor/A 62725-2023 karta.png", "A 62725-2023")</f>
        <v/>
      </c>
      <c r="Y31">
        <f>HYPERLINK("https://klasma.github.io/Logging_1463/kartor_geotiff/A 62725-2023 georefererad karta.tif", "A 62725-2023")</f>
        <v/>
      </c>
      <c r="AA31">
        <f>HYPERLINK("https://klasma.github.io/Logging_1463/klagomål/A 62725-2023 FSC-klagomål.docx", "A 62725-2023")</f>
        <v/>
      </c>
      <c r="AB31">
        <f>HYPERLINK("https://klasma.github.io/Logging_1463/klagomålsmail/A 62725-2023 FSC-klagomål mail.docx", "A 62725-2023")</f>
        <v/>
      </c>
      <c r="AC31">
        <f>HYPERLINK("https://klasma.github.io/Logging_1463/tillsyn/A 62725-2023 tillsynsbegäran.docx", "A 62725-2023")</f>
        <v/>
      </c>
      <c r="AD31">
        <f>HYPERLINK("https://klasma.github.io/Logging_1463/tillsynsmail/A 62725-2023 tillsynsbegäran mail.docx", "A 62725-2023")</f>
        <v/>
      </c>
    </row>
    <row r="32" ht="15" customHeight="1">
      <c r="A32" t="inlineStr">
        <is>
          <t>A 33531-2025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45841</v>
      </c>
      <c r="E32" s="1" t="n">
        <v>46326</v>
      </c>
      <c r="F32" t="inlineStr">
        <is>
          <t>VÄSTRA GÖTALANDS LÄN</t>
        </is>
      </c>
      <c r="G32" t="inlineStr">
        <is>
          <t>MARK</t>
        </is>
      </c>
      <c r="I32" t="n">
        <v>5.4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Västlig hakmossa</t>
        </is>
      </c>
      <c r="W32">
        <f>HYPERLINK("https://klasma.github.io/Logging_1463/artfynd/A 33531-2025 artfynd.xlsx", "A 33531-2025")</f>
        <v/>
      </c>
      <c r="X32">
        <f>HYPERLINK("https://klasma.github.io/Logging_1463/kartor/A 33531-2025 karta.png", "A 33531-2025")</f>
        <v/>
      </c>
      <c r="Y32">
        <f>HYPERLINK("https://klasma.github.io/Logging_1463/kartor_geotiff/A 33531-2025 georefererad karta.tif", "A 33531-2025")</f>
        <v/>
      </c>
      <c r="AA32">
        <f>HYPERLINK("https://klasma.github.io/Logging_1463/klagomål/A 33531-2025 FSC-klagomål.docx", "A 33531-2025")</f>
        <v/>
      </c>
      <c r="AB32">
        <f>HYPERLINK("https://klasma.github.io/Logging_1463/klagomålsmail/A 33531-2025 FSC-klagomål mail.docx", "A 33531-2025")</f>
        <v/>
      </c>
      <c r="AC32">
        <f>HYPERLINK("https://klasma.github.io/Logging_1463/tillsyn/A 33531-2025 tillsynsbegäran.docx", "A 33531-2025")</f>
        <v/>
      </c>
      <c r="AD32">
        <f>HYPERLINK("https://klasma.github.io/Logging_1463/tillsynsmail/A 33531-2025 tillsynsbegäran mail.docx", "A 33531-2025")</f>
        <v/>
      </c>
    </row>
    <row r="33" ht="15" customHeight="1">
      <c r="A33" t="inlineStr">
        <is>
          <t>A 26683-2025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45810</v>
      </c>
      <c r="E33" s="1" t="n">
        <v>46326</v>
      </c>
      <c r="F33" t="inlineStr">
        <is>
          <t>VÄSTRA GÖTALANDS LÄN</t>
        </is>
      </c>
      <c r="G33" t="inlineStr">
        <is>
          <t>MARK</t>
        </is>
      </c>
      <c r="I33" t="n">
        <v>1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Öring</t>
        </is>
      </c>
      <c r="W33">
        <f>HYPERLINK("https://klasma.github.io/Logging_1463/artfynd/A 26683-2025 artfynd.xlsx", "A 26683-2025")</f>
        <v/>
      </c>
      <c r="X33">
        <f>HYPERLINK("https://klasma.github.io/Logging_1463/kartor/A 26683-2025 karta.png", "A 26683-2025")</f>
        <v/>
      </c>
      <c r="Y33">
        <f>HYPERLINK("https://klasma.github.io/Logging_1463/kartor_geotiff/A 26683-2025 georefererad karta.tif", "A 26683-2025")</f>
        <v/>
      </c>
      <c r="AA33">
        <f>HYPERLINK("https://klasma.github.io/Logging_1463/klagomål/A 26683-2025 FSC-klagomål.docx", "A 26683-2025")</f>
        <v/>
      </c>
      <c r="AB33">
        <f>HYPERLINK("https://klasma.github.io/Logging_1463/klagomålsmail/A 26683-2025 FSC-klagomål mail.docx", "A 26683-2025")</f>
        <v/>
      </c>
      <c r="AC33">
        <f>HYPERLINK("https://klasma.github.io/Logging_1463/tillsyn/A 26683-2025 tillsynsbegäran.docx", "A 26683-2025")</f>
        <v/>
      </c>
      <c r="AD33">
        <f>HYPERLINK("https://klasma.github.io/Logging_1463/tillsynsmail/A 26683-2025 tillsynsbegäran mail.docx", "A 26683-2025")</f>
        <v/>
      </c>
    </row>
    <row r="34" ht="15" customHeight="1">
      <c r="A34" t="inlineStr">
        <is>
          <t>A 33955-2023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45134</v>
      </c>
      <c r="E34" s="1" t="n">
        <v>46326</v>
      </c>
      <c r="F34" t="inlineStr">
        <is>
          <t>VÄSTRA GÖTALANDS LÄN</t>
        </is>
      </c>
      <c r="G34" t="inlineStr">
        <is>
          <t>MARK</t>
        </is>
      </c>
      <c r="I34" t="n">
        <v>10.7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Brandticka</t>
        </is>
      </c>
      <c r="W34">
        <f>HYPERLINK("https://klasma.github.io/Logging_1463/artfynd/A 33955-2023 artfynd.xlsx", "A 33955-2023")</f>
        <v/>
      </c>
      <c r="X34">
        <f>HYPERLINK("https://klasma.github.io/Logging_1463/kartor/A 33955-2023 karta.png", "A 33955-2023")</f>
        <v/>
      </c>
      <c r="Y34">
        <f>HYPERLINK("https://klasma.github.io/Logging_1463/kartor_geotiff/A 33955-2023 georefererad karta.tif", "A 33955-2023")</f>
        <v/>
      </c>
      <c r="AA34">
        <f>HYPERLINK("https://klasma.github.io/Logging_1463/klagomål/A 33955-2023 FSC-klagomål.docx", "A 33955-2023")</f>
        <v/>
      </c>
      <c r="AB34">
        <f>HYPERLINK("https://klasma.github.io/Logging_1463/klagomålsmail/A 33955-2023 FSC-klagomål mail.docx", "A 33955-2023")</f>
        <v/>
      </c>
      <c r="AC34">
        <f>HYPERLINK("https://klasma.github.io/Logging_1463/tillsyn/A 33955-2023 tillsynsbegäran.docx", "A 33955-2023")</f>
        <v/>
      </c>
      <c r="AD34">
        <f>HYPERLINK("https://klasma.github.io/Logging_1463/tillsynsmail/A 33955-2023 tillsynsbegäran mail.docx", "A 33955-2023")</f>
        <v/>
      </c>
    </row>
    <row r="35" ht="15" customHeight="1">
      <c r="A35" t="inlineStr">
        <is>
          <t>A 4304-2024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45324</v>
      </c>
      <c r="E35" s="1" t="n">
        <v>46326</v>
      </c>
      <c r="F35" t="inlineStr">
        <is>
          <t>VÄSTRA GÖTALANDS LÄN</t>
        </is>
      </c>
      <c r="G35" t="inlineStr">
        <is>
          <t>MARK</t>
        </is>
      </c>
      <c r="I35" t="n">
        <v>1.6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Blåsippa</t>
        </is>
      </c>
      <c r="W35">
        <f>HYPERLINK("https://klasma.github.io/Logging_1463/artfynd/A 4304-2024 artfynd.xlsx", "A 4304-2024")</f>
        <v/>
      </c>
      <c r="X35">
        <f>HYPERLINK("https://klasma.github.io/Logging_1463/kartor/A 4304-2024 karta.png", "A 4304-2024")</f>
        <v/>
      </c>
      <c r="Y35">
        <f>HYPERLINK("https://klasma.github.io/Logging_1463/kartor_geotiff/A 4304-2024 georefererad karta.tif", "A 4304-2024")</f>
        <v/>
      </c>
      <c r="AA35">
        <f>HYPERLINK("https://klasma.github.io/Logging_1463/klagomål/A 4304-2024 FSC-klagomål.docx", "A 4304-2024")</f>
        <v/>
      </c>
      <c r="AB35">
        <f>HYPERLINK("https://klasma.github.io/Logging_1463/klagomålsmail/A 4304-2024 FSC-klagomål mail.docx", "A 4304-2024")</f>
        <v/>
      </c>
      <c r="AC35">
        <f>HYPERLINK("https://klasma.github.io/Logging_1463/tillsyn/A 4304-2024 tillsynsbegäran.docx", "A 4304-2024")</f>
        <v/>
      </c>
      <c r="AD35">
        <f>HYPERLINK("https://klasma.github.io/Logging_1463/tillsynsmail/A 4304-2024 tillsynsbegäran mail.docx", "A 4304-2024")</f>
        <v/>
      </c>
    </row>
    <row r="36" ht="15" customHeight="1">
      <c r="A36" t="inlineStr">
        <is>
          <t>A 65145-2023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45288</v>
      </c>
      <c r="E36" s="1" t="n">
        <v>46326</v>
      </c>
      <c r="F36" t="inlineStr">
        <is>
          <t>VÄSTRA GÖTALANDS LÄN</t>
        </is>
      </c>
      <c r="G36" t="inlineStr">
        <is>
          <t>MARK</t>
        </is>
      </c>
      <c r="I36" t="n">
        <v>18.2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Lilavaxing</t>
        </is>
      </c>
      <c r="W36">
        <f>HYPERLINK("https://klasma.github.io/Logging_1463/artfynd/A 65145-2023 artfynd.xlsx", "A 65145-2023")</f>
        <v/>
      </c>
      <c r="X36">
        <f>HYPERLINK("https://klasma.github.io/Logging_1463/kartor/A 65145-2023 karta.png", "A 65145-2023")</f>
        <v/>
      </c>
      <c r="Y36">
        <f>HYPERLINK("https://klasma.github.io/Logging_1463/kartor_geotiff/A 65145-2023 georefererad karta.tif", "A 65145-2023")</f>
        <v/>
      </c>
      <c r="AA36">
        <f>HYPERLINK("https://klasma.github.io/Logging_1463/klagomål/A 65145-2023 FSC-klagomål.docx", "A 65145-2023")</f>
        <v/>
      </c>
      <c r="AB36">
        <f>HYPERLINK("https://klasma.github.io/Logging_1463/klagomålsmail/A 65145-2023 FSC-klagomål mail.docx", "A 65145-2023")</f>
        <v/>
      </c>
      <c r="AC36">
        <f>HYPERLINK("https://klasma.github.io/Logging_1463/tillsyn/A 65145-2023 tillsynsbegäran.docx", "A 65145-2023")</f>
        <v/>
      </c>
      <c r="AD36">
        <f>HYPERLINK("https://klasma.github.io/Logging_1463/tillsynsmail/A 65145-2023 tillsynsbegäran mail.docx", "A 65145-2023")</f>
        <v/>
      </c>
    </row>
    <row r="37" ht="15" customHeight="1">
      <c r="A37" t="inlineStr">
        <is>
          <t>A 49725-2024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45596</v>
      </c>
      <c r="E37" s="1" t="n">
        <v>46326</v>
      </c>
      <c r="F37" t="inlineStr">
        <is>
          <t>VÄSTRA GÖTALANDS LÄN</t>
        </is>
      </c>
      <c r="G37" t="inlineStr">
        <is>
          <t>MARK</t>
        </is>
      </c>
      <c r="I37" t="n">
        <v>0.7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2</v>
      </c>
      <c r="U37" t="n">
        <v>0</v>
      </c>
      <c r="V37" s="2" t="inlineStr">
        <is>
          <t>Svinrot</t>
        </is>
      </c>
      <c r="W37">
        <f>HYPERLINK("https://klasma.github.io/Logging_1463/artfynd/A 49725-2024 artfynd.xlsx", "A 49725-2024")</f>
        <v/>
      </c>
      <c r="X37">
        <f>HYPERLINK("https://klasma.github.io/Logging_1463/kartor/A 49725-2024 karta.png", "A 49725-2024")</f>
        <v/>
      </c>
      <c r="Y37">
        <f>HYPERLINK("https://klasma.github.io/Logging_1463/kartor_geotiff/A 49725-2024 georefererad karta.tif", "A 49725-2024")</f>
        <v/>
      </c>
      <c r="AA37">
        <f>HYPERLINK("https://klasma.github.io/Logging_1463/klagomål/A 49725-2024 FSC-klagomål.docx", "A 49725-2024")</f>
        <v/>
      </c>
      <c r="AB37">
        <f>HYPERLINK("https://klasma.github.io/Logging_1463/klagomålsmail/A 49725-2024 FSC-klagomål mail.docx", "A 49725-2024")</f>
        <v/>
      </c>
      <c r="AC37">
        <f>HYPERLINK("https://klasma.github.io/Logging_1463/tillsyn/A 49725-2024 tillsynsbegäran.docx", "A 49725-2024")</f>
        <v/>
      </c>
      <c r="AD37">
        <f>HYPERLINK("https://klasma.github.io/Logging_1463/tillsynsmail/A 49725-2024 tillsynsbegäran mail.docx", "A 49725-2024")</f>
        <v/>
      </c>
    </row>
    <row r="38" ht="15" customHeight="1">
      <c r="A38" t="inlineStr">
        <is>
          <t>A 16277-2025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45751</v>
      </c>
      <c r="E38" s="1" t="n">
        <v>46326</v>
      </c>
      <c r="F38" t="inlineStr">
        <is>
          <t>VÄSTRA GÖTALANDS LÄN</t>
        </is>
      </c>
      <c r="G38" t="inlineStr">
        <is>
          <t>MARK</t>
        </is>
      </c>
      <c r="H38" t="inlineStr">
        <is>
          <t>Sveaskog</t>
        </is>
      </c>
      <c r="I38" t="n">
        <v>4.6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Stor revmossa</t>
        </is>
      </c>
      <c r="W38">
        <f>HYPERLINK("https://klasma.github.io/Logging_1463/artfynd/A 16277-2025 artfynd.xlsx", "A 16277-2025")</f>
        <v/>
      </c>
      <c r="X38">
        <f>HYPERLINK("https://klasma.github.io/Logging_1463/kartor/A 16277-2025 karta.png", "A 16277-2025")</f>
        <v/>
      </c>
      <c r="Y38">
        <f>HYPERLINK("https://klasma.github.io/Logging_1463/kartor_geotiff/A 16277-2025 georefererad karta.tif", "A 16277-2025")</f>
        <v/>
      </c>
      <c r="AA38">
        <f>HYPERLINK("https://klasma.github.io/Logging_1463/klagomål/A 16277-2025 FSC-klagomål.docx", "A 16277-2025")</f>
        <v/>
      </c>
      <c r="AB38">
        <f>HYPERLINK("https://klasma.github.io/Logging_1463/klagomålsmail/A 16277-2025 FSC-klagomål mail.docx", "A 16277-2025")</f>
        <v/>
      </c>
      <c r="AC38">
        <f>HYPERLINK("https://klasma.github.io/Logging_1463/tillsyn/A 16277-2025 tillsynsbegäran.docx", "A 16277-2025")</f>
        <v/>
      </c>
      <c r="AD38">
        <f>HYPERLINK("https://klasma.github.io/Logging_1463/tillsynsmail/A 16277-2025 tillsynsbegäran mail.docx", "A 16277-2025")</f>
        <v/>
      </c>
    </row>
    <row r="39" ht="15" customHeight="1">
      <c r="A39" t="inlineStr">
        <is>
          <t>A 29497-2026</t>
        </is>
      </c>
      <c r="B39" t="inlineStr">
        <is>
          <t>avverkningsanmälan</t>
        </is>
      </c>
      <c r="C39" t="inlineStr">
        <is>
          <t>Avverkning för att bevara och utveckla /försöksver</t>
        </is>
      </c>
      <c r="D39" s="1" t="n">
        <v>46203</v>
      </c>
      <c r="E39" s="1" t="n">
        <v>46326</v>
      </c>
      <c r="F39" t="inlineStr">
        <is>
          <t>VÄSTRA GÖTALANDS LÄN</t>
        </is>
      </c>
      <c r="G39" t="inlineStr">
        <is>
          <t>MARK</t>
        </is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Grönvit nattviol</t>
        </is>
      </c>
      <c r="W39">
        <f>HYPERLINK("https://klasma.github.io/Logging_1463/artfynd/A 29497-2026 artfynd.xlsx", "A 29497-2026")</f>
        <v/>
      </c>
      <c r="X39">
        <f>HYPERLINK("https://klasma.github.io/Logging_1463/kartor/A 29497-2026 karta.png", "A 29497-2026")</f>
        <v/>
      </c>
      <c r="Y39">
        <f>HYPERLINK("https://klasma.github.io/Logging_1463/kartor_geotiff/A 29497-2026 georefererad karta.tif", "A 29497-2026")</f>
        <v/>
      </c>
      <c r="AA39">
        <f>HYPERLINK("https://klasma.github.io/Logging_1463/klagomål/A 29497-2026 FSC-klagomål.docx", "A 29497-2026")</f>
        <v/>
      </c>
      <c r="AB39">
        <f>HYPERLINK("https://klasma.github.io/Logging_1463/klagomålsmail/A 29497-2026 FSC-klagomål mail.docx", "A 29497-2026")</f>
        <v/>
      </c>
      <c r="AC39">
        <f>HYPERLINK("https://klasma.github.io/Logging_1463/tillsyn/A 29497-2026 tillsynsbegäran.docx", "A 29497-2026")</f>
        <v/>
      </c>
      <c r="AD39">
        <f>HYPERLINK("https://klasma.github.io/Logging_1463/tillsynsmail/A 29497-2026 tillsynsbegäran mail.docx", "A 29497-2026")</f>
        <v/>
      </c>
    </row>
    <row r="40" ht="15" customHeight="1">
      <c r="A40" t="inlineStr">
        <is>
          <t>A 59662-2022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44908</v>
      </c>
      <c r="E40" s="1" t="n">
        <v>46326</v>
      </c>
      <c r="F40" t="inlineStr">
        <is>
          <t>VÄSTRA GÖTALANDS LÄN</t>
        </is>
      </c>
      <c r="G40" t="inlineStr">
        <is>
          <t>MARK</t>
        </is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Hasselmus</t>
        </is>
      </c>
      <c r="W40">
        <f>HYPERLINK("https://klasma.github.io/Logging_1463/artfynd/A 59662-2022 artfynd.xlsx", "A 59662-2022")</f>
        <v/>
      </c>
      <c r="X40">
        <f>HYPERLINK("https://klasma.github.io/Logging_1463/kartor/A 59662-2022 karta.png", "A 59662-2022")</f>
        <v/>
      </c>
      <c r="Y40">
        <f>HYPERLINK("https://klasma.github.io/Logging_1463/kartor_geotiff/A 59662-2022 georefererad karta.tif", "A 59662-2022")</f>
        <v/>
      </c>
      <c r="AA40">
        <f>HYPERLINK("https://klasma.github.io/Logging_1463/klagomål/A 59662-2022 FSC-klagomål.docx", "A 59662-2022")</f>
        <v/>
      </c>
      <c r="AB40">
        <f>HYPERLINK("https://klasma.github.io/Logging_1463/klagomålsmail/A 59662-2022 FSC-klagomål mail.docx", "A 59662-2022")</f>
        <v/>
      </c>
      <c r="AC40">
        <f>HYPERLINK("https://klasma.github.io/Logging_1463/tillsyn/A 59662-2022 tillsynsbegäran.docx", "A 59662-2022")</f>
        <v/>
      </c>
      <c r="AD40">
        <f>HYPERLINK("https://klasma.github.io/Logging_1463/tillsynsmail/A 59662-2022 tillsynsbegäran mail.docx", "A 59662-2022")</f>
        <v/>
      </c>
    </row>
    <row r="41" ht="15" customHeight="1">
      <c r="A41" t="inlineStr">
        <is>
          <t>A 34899-2025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45849</v>
      </c>
      <c r="E41" s="1" t="n">
        <v>46326</v>
      </c>
      <c r="F41" t="inlineStr">
        <is>
          <t>VÄSTRA GÖTALANDS LÄN</t>
        </is>
      </c>
      <c r="G41" t="inlineStr">
        <is>
          <t>MARK</t>
        </is>
      </c>
      <c r="I41" t="n">
        <v>3.1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Spillkråka</t>
        </is>
      </c>
      <c r="W41">
        <f>HYPERLINK("https://klasma.github.io/Logging_1463/artfynd/A 34899-2025 artfynd.xlsx", "A 34899-2025")</f>
        <v/>
      </c>
      <c r="X41">
        <f>HYPERLINK("https://klasma.github.io/Logging_1463/kartor/A 34899-2025 karta.png", "A 34899-2025")</f>
        <v/>
      </c>
      <c r="Y41">
        <f>HYPERLINK("https://klasma.github.io/Logging_1463/kartor_geotiff/A 34899-2025 georefererad karta.tif", "A 34899-2025")</f>
        <v/>
      </c>
      <c r="AA41">
        <f>HYPERLINK("https://klasma.github.io/Logging_1463/klagomål/A 34899-2025 FSC-klagomål.docx", "A 34899-2025")</f>
        <v/>
      </c>
      <c r="AB41">
        <f>HYPERLINK("https://klasma.github.io/Logging_1463/klagomålsmail/A 34899-2025 FSC-klagomål mail.docx", "A 34899-2025")</f>
        <v/>
      </c>
      <c r="AC41">
        <f>HYPERLINK("https://klasma.github.io/Logging_1463/tillsyn/A 34899-2025 tillsynsbegäran.docx", "A 34899-2025")</f>
        <v/>
      </c>
      <c r="AD41">
        <f>HYPERLINK("https://klasma.github.io/Logging_1463/tillsynsmail/A 34899-2025 tillsynsbegäran mail.docx", "A 34899-2025")</f>
        <v/>
      </c>
      <c r="AE41">
        <f>HYPERLINK("https://klasma.github.io/Logging_1463/fåglar/A 34899-2025 prioriterade fågelarter.docx", "A 34899-2025")</f>
        <v/>
      </c>
    </row>
    <row r="42" ht="15" customHeight="1">
      <c r="A42" t="inlineStr">
        <is>
          <t>A 32017-2026</t>
        </is>
      </c>
      <c r="B42" t="inlineStr">
        <is>
          <t>avverkningsanmälan</t>
        </is>
      </c>
      <c r="C42" t="inlineStr">
        <is>
          <t>Avverkning för att bevara och utveckla /försöksver</t>
        </is>
      </c>
      <c r="D42" s="1" t="n">
        <v>46233</v>
      </c>
      <c r="E42" s="1" t="n">
        <v>46326</v>
      </c>
      <c r="F42" t="inlineStr">
        <is>
          <t>VÄSTRA GÖTALANDS LÄN</t>
        </is>
      </c>
      <c r="G42" t="inlineStr">
        <is>
          <t>MARK</t>
        </is>
      </c>
      <c r="I42" t="n">
        <v>5.1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Sexfläckig bastardsvärmare</t>
        </is>
      </c>
      <c r="W42">
        <f>HYPERLINK("https://klasma.github.io/Logging_1463/artfynd/A 32017-2026 artfynd.xlsx", "A 32017-2026")</f>
        <v/>
      </c>
      <c r="X42">
        <f>HYPERLINK("https://klasma.github.io/Logging_1463/kartor/A 32017-2026 karta.png", "A 32017-2026")</f>
        <v/>
      </c>
      <c r="Y42">
        <f>HYPERLINK("https://klasma.github.io/Logging_1463/kartor_geotiff/A 32017-2026 georefererad karta.tif", "A 32017-2026")</f>
        <v/>
      </c>
      <c r="AA42">
        <f>HYPERLINK("https://klasma.github.io/Logging_1463/klagomål/A 32017-2026 FSC-klagomål.docx", "A 32017-2026")</f>
        <v/>
      </c>
      <c r="AB42">
        <f>HYPERLINK("https://klasma.github.io/Logging_1463/klagomålsmail/A 32017-2026 FSC-klagomål mail.docx", "A 32017-2026")</f>
        <v/>
      </c>
      <c r="AC42">
        <f>HYPERLINK("https://klasma.github.io/Logging_1463/tillsyn/A 32017-2026 tillsynsbegäran.docx", "A 32017-2026")</f>
        <v/>
      </c>
      <c r="AD42">
        <f>HYPERLINK("https://klasma.github.io/Logging_1463/tillsynsmail/A 32017-2026 tillsynsbegäran mail.docx", "A 32017-2026")</f>
        <v/>
      </c>
    </row>
    <row r="43" ht="15" customHeight="1">
      <c r="A43" t="inlineStr">
        <is>
          <t>A 48759-2025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45936</v>
      </c>
      <c r="E43" s="1" t="n">
        <v>46326</v>
      </c>
      <c r="F43" t="inlineStr">
        <is>
          <t>VÄSTRA GÖTALANDS LÄN</t>
        </is>
      </c>
      <c r="G43" t="inlineStr">
        <is>
          <t>MARK</t>
        </is>
      </c>
      <c r="I43" t="n">
        <v>1.7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Nötkråka</t>
        </is>
      </c>
      <c r="W43">
        <f>HYPERLINK("https://klasma.github.io/Logging_1463/artfynd/A 48759-2025 artfynd.xlsx", "A 48759-2025")</f>
        <v/>
      </c>
      <c r="X43">
        <f>HYPERLINK("https://klasma.github.io/Logging_1463/kartor/A 48759-2025 karta.png", "A 48759-2025")</f>
        <v/>
      </c>
      <c r="Y43">
        <f>HYPERLINK("https://klasma.github.io/Logging_1463/kartor_geotiff/A 48759-2025 georefererad karta.tif", "A 48759-2025")</f>
        <v/>
      </c>
      <c r="AA43">
        <f>HYPERLINK("https://klasma.github.io/Logging_1463/klagomål/A 48759-2025 FSC-klagomål.docx", "A 48759-2025")</f>
        <v/>
      </c>
      <c r="AB43">
        <f>HYPERLINK("https://klasma.github.io/Logging_1463/klagomålsmail/A 48759-2025 FSC-klagomål mail.docx", "A 48759-2025")</f>
        <v/>
      </c>
      <c r="AC43">
        <f>HYPERLINK("https://klasma.github.io/Logging_1463/tillsyn/A 48759-2025 tillsynsbegäran.docx", "A 48759-2025")</f>
        <v/>
      </c>
      <c r="AD43">
        <f>HYPERLINK("https://klasma.github.io/Logging_1463/tillsynsmail/A 48759-2025 tillsynsbegäran mail.docx", "A 48759-2025")</f>
        <v/>
      </c>
      <c r="AE43">
        <f>HYPERLINK("https://klasma.github.io/Logging_1463/fåglar/A 48759-2025 prioriterade fågelarter.docx", "A 48759-2025")</f>
        <v/>
      </c>
    </row>
    <row r="44" ht="15" customHeight="1">
      <c r="A44" t="inlineStr">
        <is>
          <t>A 23536-2025</t>
        </is>
      </c>
      <c r="B44" t="inlineStr">
        <is>
          <t>avverkningsanmälan</t>
        </is>
      </c>
      <c r="C44" t="inlineStr">
        <is>
          <t>Avverkning för att bevara och utveckla /försöksver</t>
        </is>
      </c>
      <c r="D44" s="1" t="n">
        <v>45792</v>
      </c>
      <c r="E44" s="1" t="n">
        <v>46326</v>
      </c>
      <c r="F44" t="inlineStr">
        <is>
          <t>VÄSTRA GÖTALANDS LÄN</t>
        </is>
      </c>
      <c r="G44" t="inlineStr">
        <is>
          <t>MARK</t>
        </is>
      </c>
      <c r="I44" t="n">
        <v>3.9</v>
      </c>
      <c r="J44" t="n">
        <v>0</v>
      </c>
      <c r="K44" t="n">
        <v>0</v>
      </c>
      <c r="L44" t="n">
        <v>0</v>
      </c>
      <c r="M44" t="n">
        <v>0</v>
      </c>
      <c r="N44" t="n">
        <v>1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Ask</t>
        </is>
      </c>
      <c r="W44">
        <f>HYPERLINK("https://klasma.github.io/Logging_1463/artfynd/A 23536-2025 artfynd.xlsx", "A 23536-2025")</f>
        <v/>
      </c>
      <c r="X44">
        <f>HYPERLINK("https://klasma.github.io/Logging_1463/kartor/A 23536-2025 karta.png", "A 23536-2025")</f>
        <v/>
      </c>
      <c r="Y44">
        <f>HYPERLINK("https://klasma.github.io/Logging_1463/kartor_geotiff/A 23536-2025 georefererad karta.tif", "A 23536-2025")</f>
        <v/>
      </c>
      <c r="AA44">
        <f>HYPERLINK("https://klasma.github.io/Logging_1463/klagomål/A 23536-2025 FSC-klagomål.docx", "A 23536-2025")</f>
        <v/>
      </c>
      <c r="AB44">
        <f>HYPERLINK("https://klasma.github.io/Logging_1463/klagomålsmail/A 23536-2025 FSC-klagomål mail.docx", "A 23536-2025")</f>
        <v/>
      </c>
      <c r="AC44">
        <f>HYPERLINK("https://klasma.github.io/Logging_1463/tillsyn/A 23536-2025 tillsynsbegäran.docx", "A 23536-2025")</f>
        <v/>
      </c>
      <c r="AD44">
        <f>HYPERLINK("https://klasma.github.io/Logging_1463/tillsynsmail/A 23536-2025 tillsynsbegäran mail.docx", "A 23536-2025")</f>
        <v/>
      </c>
    </row>
    <row r="45" ht="15" customHeight="1">
      <c r="A45" t="inlineStr">
        <is>
          <t>A 36284-2026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46268</v>
      </c>
      <c r="E45" s="1" t="n">
        <v>46326</v>
      </c>
      <c r="F45" t="inlineStr">
        <is>
          <t>VÄSTRA GÖTALANDS LÄN</t>
        </is>
      </c>
      <c r="G45" t="inlineStr">
        <is>
          <t>MARK</t>
        </is>
      </c>
      <c r="I45" t="n">
        <v>1.4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Lindskål</t>
        </is>
      </c>
      <c r="W45">
        <f>HYPERLINK("https://klasma.github.io/Logging_1463/artfynd/A 36284-2026 artfynd.xlsx", "A 36284-2026")</f>
        <v/>
      </c>
      <c r="X45">
        <f>HYPERLINK("https://klasma.github.io/Logging_1463/kartor/A 36284-2026 karta.png", "A 36284-2026")</f>
        <v/>
      </c>
      <c r="Y45">
        <f>HYPERLINK("https://klasma.github.io/Logging_1463/kartor_geotiff/A 36284-2026 georefererad karta.tif", "A 36284-2026")</f>
        <v/>
      </c>
      <c r="AA45">
        <f>HYPERLINK("https://klasma.github.io/Logging_1463/klagomål/A 36284-2026 FSC-klagomål.docx", "A 36284-2026")</f>
        <v/>
      </c>
      <c r="AB45">
        <f>HYPERLINK("https://klasma.github.io/Logging_1463/klagomålsmail/A 36284-2026 FSC-klagomål mail.docx", "A 36284-2026")</f>
        <v/>
      </c>
      <c r="AC45">
        <f>HYPERLINK("https://klasma.github.io/Logging_1463/tillsyn/A 36284-2026 tillsynsbegäran.docx", "A 36284-2026")</f>
        <v/>
      </c>
      <c r="AD45">
        <f>HYPERLINK("https://klasma.github.io/Logging_1463/tillsynsmail/A 36284-2026 tillsynsbegäran mail.docx", "A 36284-2026")</f>
        <v/>
      </c>
    </row>
    <row r="46" ht="15" customHeight="1">
      <c r="A46" t="inlineStr">
        <is>
          <t>S 1461-2025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45786</v>
      </c>
      <c r="E46" s="1" t="n">
        <v>46326</v>
      </c>
      <c r="F46" t="inlineStr">
        <is>
          <t>VÄSTRA GÖTALANDS LÄN</t>
        </is>
      </c>
      <c r="G46" t="inlineStr">
        <is>
          <t>MARK</t>
        </is>
      </c>
      <c r="I46" t="n">
        <v>55.6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Hasselmus</t>
        </is>
      </c>
      <c r="W46">
        <f>HYPERLINK("https://klasma.github.io/Logging_1463/artfynd/S 1461-2025 artfynd.xlsx", "S 1461-2025")</f>
        <v/>
      </c>
      <c r="X46">
        <f>HYPERLINK("https://klasma.github.io/Logging_1463/kartor/S 1461-2025 karta.png", "S 1461-2025")</f>
        <v/>
      </c>
      <c r="Y46">
        <f>HYPERLINK("https://klasma.github.io/Logging_1463/kartor_geotiff/S 1461-2025 georefererad karta.tif", "S 1461-2025")</f>
        <v/>
      </c>
      <c r="AA46">
        <f>HYPERLINK("https://klasma.github.io/Logging_1463/klagomål/S 1461-2025 FSC-klagomål.docx", "S 1461-2025")</f>
        <v/>
      </c>
      <c r="AB46">
        <f>HYPERLINK("https://klasma.github.io/Logging_1463/klagomålsmail/S 1461-2025 FSC-klagomål mail.docx", "S 1461-2025")</f>
        <v/>
      </c>
      <c r="AC46">
        <f>HYPERLINK("https://klasma.github.io/Logging_1463/tillsyn/S 1461-2025 tillsynsbegäran.docx", "S 1461-2025")</f>
        <v/>
      </c>
      <c r="AD46">
        <f>HYPERLINK("https://klasma.github.io/Logging_1463/tillsynsmail/S 1461-2025 tillsynsbegäran mail.docx", "S 1461-2025")</f>
        <v/>
      </c>
    </row>
    <row r="47" ht="15" customHeight="1">
      <c r="A47" t="inlineStr">
        <is>
          <t>S 185-2026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46048</v>
      </c>
      <c r="E47" s="1" t="n">
        <v>46326</v>
      </c>
      <c r="F47" t="inlineStr">
        <is>
          <t>VÄSTRA GÖTALANDS LÄN</t>
        </is>
      </c>
      <c r="G47" t="inlineStr">
        <is>
          <t>MARK</t>
        </is>
      </c>
      <c r="I47" t="n">
        <v>1.3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Orre</t>
        </is>
      </c>
      <c r="W47">
        <f>HYPERLINK("https://klasma.github.io/Logging_1463/artfynd/S 185-2026 artfynd.xlsx", "S 185-2026")</f>
        <v/>
      </c>
      <c r="X47">
        <f>HYPERLINK("https://klasma.github.io/Logging_1463/kartor/S 185-2026 karta.png", "S 185-2026")</f>
        <v/>
      </c>
      <c r="Y47">
        <f>HYPERLINK("https://klasma.github.io/Logging_1463/kartor_geotiff/S 185-2026 georefererad karta.tif", "S 185-2026")</f>
        <v/>
      </c>
      <c r="AA47">
        <f>HYPERLINK("https://klasma.github.io/Logging_1463/klagomål/S 185-2026 FSC-klagomål.docx", "S 185-2026")</f>
        <v/>
      </c>
      <c r="AB47">
        <f>HYPERLINK("https://klasma.github.io/Logging_1463/klagomålsmail/S 185-2026 FSC-klagomål mail.docx", "S 185-2026")</f>
        <v/>
      </c>
      <c r="AC47">
        <f>HYPERLINK("https://klasma.github.io/Logging_1463/tillsyn/S 185-2026 tillsynsbegäran.docx", "S 185-2026")</f>
        <v/>
      </c>
      <c r="AD47">
        <f>HYPERLINK("https://klasma.github.io/Logging_1463/tillsynsmail/S 185-2026 tillsynsbegäran mail.docx", "S 185-2026")</f>
        <v/>
      </c>
      <c r="AE47">
        <f>HYPERLINK("https://klasma.github.io/Logging_1463/fåglar/S 185-2026 prioriterade fågelarter.docx", "S 185-2026")</f>
        <v/>
      </c>
    </row>
    <row r="48" ht="15" customHeight="1">
      <c r="A48" t="inlineStr">
        <is>
          <t>S 882-2026</t>
        </is>
      </c>
      <c r="B48" t="inlineStr">
        <is>
          <t>samrådsanmälan</t>
        </is>
      </c>
      <c r="C48" t="inlineStr">
        <is>
          <t>Askåterföring</t>
        </is>
      </c>
      <c r="D48" s="1" t="n">
        <v>46107</v>
      </c>
      <c r="E48" s="1" t="n">
        <v>46326</v>
      </c>
      <c r="F48" t="inlineStr">
        <is>
          <t>VÄSTRA GÖTALANDS LÄN</t>
        </is>
      </c>
      <c r="G48" t="inlineStr">
        <is>
          <t>MARK</t>
        </is>
      </c>
      <c r="I48" t="n">
        <v>66.40000000000001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Hasselmus</t>
        </is>
      </c>
      <c r="W48">
        <f>HYPERLINK("https://klasma.github.io/Logging_1463/artfynd/S 882-2026 artfynd.xlsx", "S 882-2026")</f>
        <v/>
      </c>
      <c r="X48">
        <f>HYPERLINK("https://klasma.github.io/Logging_1463/kartor/S 882-2026 karta.png", "S 882-2026")</f>
        <v/>
      </c>
      <c r="Y48">
        <f>HYPERLINK("https://klasma.github.io/Logging_1463/kartor_geotiff/S 882-2026 georefererad karta.tif", "S 882-2026")</f>
        <v/>
      </c>
      <c r="AA48">
        <f>HYPERLINK("https://klasma.github.io/Logging_1463/klagomål/S 882-2026 FSC-klagomål.docx", "S 882-2026")</f>
        <v/>
      </c>
      <c r="AB48">
        <f>HYPERLINK("https://klasma.github.io/Logging_1463/klagomålsmail/S 882-2026 FSC-klagomål mail.docx", "S 882-2026")</f>
        <v/>
      </c>
      <c r="AC48">
        <f>HYPERLINK("https://klasma.github.io/Logging_1463/tillsyn/S 882-2026 tillsynsbegäran.docx", "S 882-2026")</f>
        <v/>
      </c>
      <c r="AD48">
        <f>HYPERLINK("https://klasma.github.io/Logging_1463/tillsynsmail/S 882-2026 tillsynsbegäran mail.docx", "S 882-2026")</f>
        <v/>
      </c>
    </row>
    <row r="49" ht="15" customHeight="1">
      <c r="A49" t="inlineStr">
        <is>
          <t>A 54218-2022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44881</v>
      </c>
      <c r="E49" s="1" t="n">
        <v>46326</v>
      </c>
      <c r="F49" t="inlineStr">
        <is>
          <t>VÄSTRA GÖTALANDS LÄN</t>
        </is>
      </c>
      <c r="G49" t="inlineStr">
        <is>
          <t>MARK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45101-2022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44843</v>
      </c>
      <c r="E50" s="1" t="n">
        <v>46326</v>
      </c>
      <c r="F50" t="inlineStr">
        <is>
          <t>VÄSTRA GÖTALANDS LÄN</t>
        </is>
      </c>
      <c r="G50" t="inlineStr">
        <is>
          <t>MARK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69513-2021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44531</v>
      </c>
      <c r="E51" s="1" t="n">
        <v>46326</v>
      </c>
      <c r="F51" t="inlineStr">
        <is>
          <t>VÄSTRA GÖTALANDS LÄN</t>
        </is>
      </c>
      <c r="G51" t="inlineStr">
        <is>
          <t>MARK</t>
        </is>
      </c>
      <c r="I51" t="n">
        <v>1.7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29256-2022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44750</v>
      </c>
      <c r="E52" s="1" t="n">
        <v>46326</v>
      </c>
      <c r="F52" t="inlineStr">
        <is>
          <t>VÄSTRA GÖTALANDS LÄN</t>
        </is>
      </c>
      <c r="G52" t="inlineStr">
        <is>
          <t>MARK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66369-2021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44518</v>
      </c>
      <c r="E53" s="1" t="n">
        <v>46326</v>
      </c>
      <c r="F53" t="inlineStr">
        <is>
          <t>VÄSTRA GÖTALANDS LÄN</t>
        </is>
      </c>
      <c r="G53" t="inlineStr">
        <is>
          <t>MARK</t>
        </is>
      </c>
      <c r="H53" t="inlineStr">
        <is>
          <t>Kyrkan</t>
        </is>
      </c>
      <c r="I53" t="n">
        <v>1.8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30789-2022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44764</v>
      </c>
      <c r="E54" s="1" t="n">
        <v>46326</v>
      </c>
      <c r="F54" t="inlineStr">
        <is>
          <t>VÄSTRA GÖTALANDS LÄN</t>
        </is>
      </c>
      <c r="G54" t="inlineStr">
        <is>
          <t>MARK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67230-2021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44523</v>
      </c>
      <c r="E55" s="1" t="n">
        <v>46326</v>
      </c>
      <c r="F55" t="inlineStr">
        <is>
          <t>VÄSTRA GÖTALANDS LÄN</t>
        </is>
      </c>
      <c r="G55" t="inlineStr">
        <is>
          <t>MARK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23296-2022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44720</v>
      </c>
      <c r="E56" s="1" t="n">
        <v>46326</v>
      </c>
      <c r="F56" t="inlineStr">
        <is>
          <t>VÄSTRA GÖTALANDS LÄN</t>
        </is>
      </c>
      <c r="G56" t="inlineStr">
        <is>
          <t>MARK</t>
        </is>
      </c>
      <c r="I56" t="n">
        <v>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19836-2022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44696</v>
      </c>
      <c r="E57" s="1" t="n">
        <v>46326</v>
      </c>
      <c r="F57" t="inlineStr">
        <is>
          <t>VÄSTRA GÖTALANDS LÄN</t>
        </is>
      </c>
      <c r="G57" t="inlineStr">
        <is>
          <t>MARK</t>
        </is>
      </c>
      <c r="I57" t="n">
        <v>2.2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7454-2022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44607</v>
      </c>
      <c r="E58" s="1" t="n">
        <v>46326</v>
      </c>
      <c r="F58" t="inlineStr">
        <is>
          <t>VÄSTRA GÖTALANDS LÄN</t>
        </is>
      </c>
      <c r="G58" t="inlineStr">
        <is>
          <t>MARK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30791-2022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44764</v>
      </c>
      <c r="E59" s="1" t="n">
        <v>46326</v>
      </c>
      <c r="F59" t="inlineStr">
        <is>
          <t>VÄSTRA GÖTALANDS LÄN</t>
        </is>
      </c>
      <c r="G59" t="inlineStr">
        <is>
          <t>MARK</t>
        </is>
      </c>
      <c r="I59" t="n">
        <v>0.2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38067-2022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44811</v>
      </c>
      <c r="E60" s="1" t="n">
        <v>46326</v>
      </c>
      <c r="F60" t="inlineStr">
        <is>
          <t>VÄSTRA GÖTALANDS LÄN</t>
        </is>
      </c>
      <c r="G60" t="inlineStr">
        <is>
          <t>MARK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22627-2022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44714</v>
      </c>
      <c r="E61" s="1" t="n">
        <v>46326</v>
      </c>
      <c r="F61" t="inlineStr">
        <is>
          <t>VÄSTRA GÖTALANDS LÄN</t>
        </is>
      </c>
      <c r="G61" t="inlineStr">
        <is>
          <t>MARK</t>
        </is>
      </c>
      <c r="I61" t="n">
        <v>2.1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23894-2022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44722</v>
      </c>
      <c r="E62" s="1" t="n">
        <v>46326</v>
      </c>
      <c r="F62" t="inlineStr">
        <is>
          <t>VÄSTRA GÖTALANDS LÄN</t>
        </is>
      </c>
      <c r="G62" t="inlineStr">
        <is>
          <t>MARK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64140-2021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44510</v>
      </c>
      <c r="E63" s="1" t="n">
        <v>46326</v>
      </c>
      <c r="F63" t="inlineStr">
        <is>
          <t>VÄSTRA GÖTALANDS LÄN</t>
        </is>
      </c>
      <c r="G63" t="inlineStr">
        <is>
          <t>MARK</t>
        </is>
      </c>
      <c r="I63" t="n">
        <v>3.1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38954-2022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44816</v>
      </c>
      <c r="E64" s="1" t="n">
        <v>46326</v>
      </c>
      <c r="F64" t="inlineStr">
        <is>
          <t>VÄSTRA GÖTALANDS LÄN</t>
        </is>
      </c>
      <c r="G64" t="inlineStr">
        <is>
          <t>MARK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18139-2022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44684</v>
      </c>
      <c r="E65" s="1" t="n">
        <v>46326</v>
      </c>
      <c r="F65" t="inlineStr">
        <is>
          <t>VÄSTRA GÖTALANDS LÄN</t>
        </is>
      </c>
      <c r="G65" t="inlineStr">
        <is>
          <t>MARK</t>
        </is>
      </c>
      <c r="I65" t="n">
        <v>2.2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24151-2022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44725</v>
      </c>
      <c r="E66" s="1" t="n">
        <v>46326</v>
      </c>
      <c r="F66" t="inlineStr">
        <is>
          <t>VÄSTRA GÖTALANDS LÄN</t>
        </is>
      </c>
      <c r="G66" t="inlineStr">
        <is>
          <t>MARK</t>
        </is>
      </c>
      <c r="I66" t="n">
        <v>1.7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52505-2022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44874</v>
      </c>
      <c r="E67" s="1" t="n">
        <v>46326</v>
      </c>
      <c r="F67" t="inlineStr">
        <is>
          <t>VÄSTRA GÖTALANDS LÄN</t>
        </is>
      </c>
      <c r="G67" t="inlineStr">
        <is>
          <t>MARK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57-2022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44564</v>
      </c>
      <c r="E68" s="1" t="n">
        <v>46326</v>
      </c>
      <c r="F68" t="inlineStr">
        <is>
          <t>VÄSTRA GÖTALANDS LÄN</t>
        </is>
      </c>
      <c r="G68" t="inlineStr">
        <is>
          <t>MARK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33-2022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44564</v>
      </c>
      <c r="E69" s="1" t="n">
        <v>46326</v>
      </c>
      <c r="F69" t="inlineStr">
        <is>
          <t>VÄSTRA GÖTALANDS LÄN</t>
        </is>
      </c>
      <c r="G69" t="inlineStr">
        <is>
          <t>MARK</t>
        </is>
      </c>
      <c r="I69" t="n">
        <v>0.9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19835-2022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44696</v>
      </c>
      <c r="E70" s="1" t="n">
        <v>46326</v>
      </c>
      <c r="F70" t="inlineStr">
        <is>
          <t>VÄSTRA GÖTALANDS LÄN</t>
        </is>
      </c>
      <c r="G70" t="inlineStr">
        <is>
          <t>MARK</t>
        </is>
      </c>
      <c r="I70" t="n">
        <v>2.2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9014-2022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44615</v>
      </c>
      <c r="E71" s="1" t="n">
        <v>46326</v>
      </c>
      <c r="F71" t="inlineStr">
        <is>
          <t>VÄSTRA GÖTALANDS LÄN</t>
        </is>
      </c>
      <c r="G71" t="inlineStr">
        <is>
          <t>MARK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25886-2022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44733</v>
      </c>
      <c r="E72" s="1" t="n">
        <v>46326</v>
      </c>
      <c r="F72" t="inlineStr">
        <is>
          <t>VÄSTRA GÖTALANDS LÄN</t>
        </is>
      </c>
      <c r="G72" t="inlineStr">
        <is>
          <t>MARK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24216-2022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44725</v>
      </c>
      <c r="E73" s="1" t="n">
        <v>46326</v>
      </c>
      <c r="F73" t="inlineStr">
        <is>
          <t>VÄSTRA GÖTALANDS LÄN</t>
        </is>
      </c>
      <c r="G73" t="inlineStr">
        <is>
          <t>MARK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8091-2022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44609</v>
      </c>
      <c r="E74" s="1" t="n">
        <v>46326</v>
      </c>
      <c r="F74" t="inlineStr">
        <is>
          <t>VÄSTRA GÖTALANDS LÄN</t>
        </is>
      </c>
      <c r="G74" t="inlineStr">
        <is>
          <t>MARK</t>
        </is>
      </c>
      <c r="I74" t="n">
        <v>4.6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8093-2022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44609</v>
      </c>
      <c r="E75" s="1" t="n">
        <v>46326</v>
      </c>
      <c r="F75" t="inlineStr">
        <is>
          <t>VÄSTRA GÖTALANDS LÄN</t>
        </is>
      </c>
      <c r="G75" t="inlineStr">
        <is>
          <t>MARK</t>
        </is>
      </c>
      <c r="I75" t="n">
        <v>1.7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2616-2022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44580</v>
      </c>
      <c r="E76" s="1" t="n">
        <v>46326</v>
      </c>
      <c r="F76" t="inlineStr">
        <is>
          <t>VÄSTRA GÖTALANDS LÄN</t>
        </is>
      </c>
      <c r="G76" t="inlineStr">
        <is>
          <t>MARK</t>
        </is>
      </c>
      <c r="I76" t="n">
        <v>4.5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44577-2022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44840</v>
      </c>
      <c r="E77" s="1" t="n">
        <v>46326</v>
      </c>
      <c r="F77" t="inlineStr">
        <is>
          <t>VÄSTRA GÖTALANDS LÄN</t>
        </is>
      </c>
      <c r="G77" t="inlineStr">
        <is>
          <t>MARK</t>
        </is>
      </c>
      <c r="I77" t="n">
        <v>2.6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70090-2021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44533</v>
      </c>
      <c r="E78" s="1" t="n">
        <v>46326</v>
      </c>
      <c r="F78" t="inlineStr">
        <is>
          <t>VÄSTRA GÖTALANDS LÄN</t>
        </is>
      </c>
      <c r="G78" t="inlineStr">
        <is>
          <t>MARK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17611-2022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44680</v>
      </c>
      <c r="E79" s="1" t="n">
        <v>46326</v>
      </c>
      <c r="F79" t="inlineStr">
        <is>
          <t>VÄSTRA GÖTALANDS LÄN</t>
        </is>
      </c>
      <c r="G79" t="inlineStr">
        <is>
          <t>MARK</t>
        </is>
      </c>
      <c r="H79" t="inlineStr">
        <is>
          <t>Sveaskog</t>
        </is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32868-2022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44784</v>
      </c>
      <c r="E80" s="1" t="n">
        <v>46326</v>
      </c>
      <c r="F80" t="inlineStr">
        <is>
          <t>VÄSTRA GÖTALANDS LÄN</t>
        </is>
      </c>
      <c r="G80" t="inlineStr">
        <is>
          <t>MARK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20412-2022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44699</v>
      </c>
      <c r="E81" s="1" t="n">
        <v>46326</v>
      </c>
      <c r="F81" t="inlineStr">
        <is>
          <t>VÄSTRA GÖTALANDS LÄN</t>
        </is>
      </c>
      <c r="G81" t="inlineStr">
        <is>
          <t>MARK</t>
        </is>
      </c>
      <c r="I81" t="n">
        <v>1.6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14425-2022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44652</v>
      </c>
      <c r="E82" s="1" t="n">
        <v>46326</v>
      </c>
      <c r="F82" t="inlineStr">
        <is>
          <t>VÄSTRA GÖTALANDS LÄN</t>
        </is>
      </c>
      <c r="G82" t="inlineStr">
        <is>
          <t>MARK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32230-2022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44781</v>
      </c>
      <c r="E83" s="1" t="n">
        <v>46326</v>
      </c>
      <c r="F83" t="inlineStr">
        <is>
          <t>VÄSTRA GÖTALANDS LÄN</t>
        </is>
      </c>
      <c r="G83" t="inlineStr">
        <is>
          <t>MARK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1017-2022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44571</v>
      </c>
      <c r="E84" s="1" t="n">
        <v>46326</v>
      </c>
      <c r="F84" t="inlineStr">
        <is>
          <t>VÄSTRA GÖTALANDS LÄN</t>
        </is>
      </c>
      <c r="G84" t="inlineStr">
        <is>
          <t>MARK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71117-2021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44539</v>
      </c>
      <c r="E85" s="1" t="n">
        <v>46326</v>
      </c>
      <c r="F85" t="inlineStr">
        <is>
          <t>VÄSTRA GÖTALANDS LÄN</t>
        </is>
      </c>
      <c r="G85" t="inlineStr">
        <is>
          <t>MARK</t>
        </is>
      </c>
      <c r="I85" t="n">
        <v>1.7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10166-2022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44622</v>
      </c>
      <c r="E86" s="1" t="n">
        <v>46326</v>
      </c>
      <c r="F86" t="inlineStr">
        <is>
          <t>VÄSTRA GÖTALANDS LÄN</t>
        </is>
      </c>
      <c r="G86" t="inlineStr">
        <is>
          <t>MARK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24146-2022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44725</v>
      </c>
      <c r="E87" s="1" t="n">
        <v>46326</v>
      </c>
      <c r="F87" t="inlineStr">
        <is>
          <t>VÄSTRA GÖTALANDS LÄN</t>
        </is>
      </c>
      <c r="G87" t="inlineStr">
        <is>
          <t>MARK</t>
        </is>
      </c>
      <c r="I87" t="n">
        <v>3.3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19223-2022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44692</v>
      </c>
      <c r="E88" s="1" t="n">
        <v>46326</v>
      </c>
      <c r="F88" t="inlineStr">
        <is>
          <t>VÄSTRA GÖTALANDS LÄN</t>
        </is>
      </c>
      <c r="G88" t="inlineStr">
        <is>
          <t>MARK</t>
        </is>
      </c>
      <c r="I88" t="n">
        <v>1.7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58529-2022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44902</v>
      </c>
      <c r="E89" s="1" t="n">
        <v>46326</v>
      </c>
      <c r="F89" t="inlineStr">
        <is>
          <t>VÄSTRA GÖTALANDS LÄN</t>
        </is>
      </c>
      <c r="G89" t="inlineStr">
        <is>
          <t>MARK</t>
        </is>
      </c>
      <c r="I89" t="n">
        <v>1.8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3478-2022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44585</v>
      </c>
      <c r="E90" s="1" t="n">
        <v>46326</v>
      </c>
      <c r="F90" t="inlineStr">
        <is>
          <t>VÄSTRA GÖTALANDS LÄN</t>
        </is>
      </c>
      <c r="G90" t="inlineStr">
        <is>
          <t>MARK</t>
        </is>
      </c>
      <c r="H90" t="inlineStr">
        <is>
          <t>Sveaskog</t>
        </is>
      </c>
      <c r="I90" t="n">
        <v>1.9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6775-2024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45342</v>
      </c>
      <c r="E91" s="1" t="n">
        <v>46326</v>
      </c>
      <c r="F91" t="inlineStr">
        <is>
          <t>VÄSTRA GÖTALANDS LÄN</t>
        </is>
      </c>
      <c r="G91" t="inlineStr">
        <is>
          <t>MARK</t>
        </is>
      </c>
      <c r="I91" t="n">
        <v>1.9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27768-2024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45475</v>
      </c>
      <c r="E92" s="1" t="n">
        <v>46326</v>
      </c>
      <c r="F92" t="inlineStr">
        <is>
          <t>VÄSTRA GÖTALANDS LÄN</t>
        </is>
      </c>
      <c r="G92" t="inlineStr">
        <is>
          <t>MARK</t>
        </is>
      </c>
      <c r="I92" t="n">
        <v>1.4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17023-2023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45030</v>
      </c>
      <c r="E93" s="1" t="n">
        <v>46326</v>
      </c>
      <c r="F93" t="inlineStr">
        <is>
          <t>VÄSTRA GÖTALANDS LÄN</t>
        </is>
      </c>
      <c r="G93" t="inlineStr">
        <is>
          <t>MARK</t>
        </is>
      </c>
      <c r="I93" t="n">
        <v>2.9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43404-2024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45568</v>
      </c>
      <c r="E94" s="1" t="n">
        <v>46326</v>
      </c>
      <c r="F94" t="inlineStr">
        <is>
          <t>VÄSTRA GÖTALANDS LÄN</t>
        </is>
      </c>
      <c r="G94" t="inlineStr">
        <is>
          <t>MARK</t>
        </is>
      </c>
      <c r="I94" t="n">
        <v>2.5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26943-2023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45093</v>
      </c>
      <c r="E95" s="1" t="n">
        <v>46326</v>
      </c>
      <c r="F95" t="inlineStr">
        <is>
          <t>VÄSTRA GÖTALANDS LÄN</t>
        </is>
      </c>
      <c r="G95" t="inlineStr">
        <is>
          <t>MARK</t>
        </is>
      </c>
      <c r="I95" t="n">
        <v>0.3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11575-2022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44631</v>
      </c>
      <c r="E96" s="1" t="n">
        <v>46326</v>
      </c>
      <c r="F96" t="inlineStr">
        <is>
          <t>VÄSTRA GÖTALANDS LÄN</t>
        </is>
      </c>
      <c r="G96" t="inlineStr">
        <is>
          <t>MARK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9558-2023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44982</v>
      </c>
      <c r="E97" s="1" t="n">
        <v>46326</v>
      </c>
      <c r="F97" t="inlineStr">
        <is>
          <t>VÄSTRA GÖTALANDS LÄN</t>
        </is>
      </c>
      <c r="G97" t="inlineStr">
        <is>
          <t>MARK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11414-2022</t>
        </is>
      </c>
      <c r="B98" t="inlineStr">
        <is>
          <t>avverkningsanmälan</t>
        </is>
      </c>
      <c r="C98" t="inlineStr">
        <is>
          <t>Avverkning för att bevara och utveckla /försöksver</t>
        </is>
      </c>
      <c r="D98" s="1" t="n">
        <v>44630</v>
      </c>
      <c r="E98" s="1" t="n">
        <v>46326</v>
      </c>
      <c r="F98" t="inlineStr">
        <is>
          <t>VÄSTRA GÖTALANDS LÄN</t>
        </is>
      </c>
      <c r="G98" t="inlineStr">
        <is>
          <t>MARK</t>
        </is>
      </c>
      <c r="H98" t="inlineStr">
        <is>
          <t>Sveaskog</t>
        </is>
      </c>
      <c r="I98" t="n">
        <v>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26938-2023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45093</v>
      </c>
      <c r="E99" s="1" t="n">
        <v>46326</v>
      </c>
      <c r="F99" t="inlineStr">
        <is>
          <t>VÄSTRA GÖTALANDS LÄN</t>
        </is>
      </c>
      <c r="G99" t="inlineStr">
        <is>
          <t>MARK</t>
        </is>
      </c>
      <c r="I99" t="n">
        <v>3.2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31880-2023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45106</v>
      </c>
      <c r="E100" s="1" t="n">
        <v>46326</v>
      </c>
      <c r="F100" t="inlineStr">
        <is>
          <t>VÄSTRA GÖTALANDS LÄN</t>
        </is>
      </c>
      <c r="G100" t="inlineStr">
        <is>
          <t>MARK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3657-2025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45681</v>
      </c>
      <c r="E101" s="1" t="n">
        <v>46326</v>
      </c>
      <c r="F101" t="inlineStr">
        <is>
          <t>VÄSTRA GÖTALANDS LÄN</t>
        </is>
      </c>
      <c r="G101" t="inlineStr">
        <is>
          <t>MARK</t>
        </is>
      </c>
      <c r="I101" t="n">
        <v>1.7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1600-2023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44937</v>
      </c>
      <c r="E102" s="1" t="n">
        <v>46326</v>
      </c>
      <c r="F102" t="inlineStr">
        <is>
          <t>VÄSTRA GÖTALANDS LÄN</t>
        </is>
      </c>
      <c r="G102" t="inlineStr">
        <is>
          <t>MARK</t>
        </is>
      </c>
      <c r="I102" t="n">
        <v>7.5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9446-2024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45359</v>
      </c>
      <c r="E103" s="1" t="n">
        <v>46326</v>
      </c>
      <c r="F103" t="inlineStr">
        <is>
          <t>VÄSTRA GÖTALANDS LÄN</t>
        </is>
      </c>
      <c r="G103" t="inlineStr">
        <is>
          <t>MARK</t>
        </is>
      </c>
      <c r="I103" t="n">
        <v>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11663-2022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44632</v>
      </c>
      <c r="E104" s="1" t="n">
        <v>46326</v>
      </c>
      <c r="F104" t="inlineStr">
        <is>
          <t>VÄSTRA GÖTALANDS LÄN</t>
        </is>
      </c>
      <c r="G104" t="inlineStr">
        <is>
          <t>MARK</t>
        </is>
      </c>
      <c r="I104" t="n">
        <v>1.7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4098-2025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45684</v>
      </c>
      <c r="E105" s="1" t="n">
        <v>46326</v>
      </c>
      <c r="F105" t="inlineStr">
        <is>
          <t>VÄSTRA GÖTALANDS LÄN</t>
        </is>
      </c>
      <c r="G105" t="inlineStr">
        <is>
          <t>MARK</t>
        </is>
      </c>
      <c r="H105" t="inlineStr">
        <is>
          <t>Sveaskog</t>
        </is>
      </c>
      <c r="I105" t="n">
        <v>1.9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43402-2023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45183</v>
      </c>
      <c r="E106" s="1" t="n">
        <v>46326</v>
      </c>
      <c r="F106" t="inlineStr">
        <is>
          <t>VÄSTRA GÖTALANDS LÄN</t>
        </is>
      </c>
      <c r="G106" t="inlineStr">
        <is>
          <t>MARK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19185-2024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45428</v>
      </c>
      <c r="E107" s="1" t="n">
        <v>46326</v>
      </c>
      <c r="F107" t="inlineStr">
        <is>
          <t>VÄSTRA GÖTALANDS LÄN</t>
        </is>
      </c>
      <c r="G107" t="inlineStr">
        <is>
          <t>MARK</t>
        </is>
      </c>
      <c r="I107" t="n">
        <v>1.3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22914-2022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44715</v>
      </c>
      <c r="E108" s="1" t="n">
        <v>46326</v>
      </c>
      <c r="F108" t="inlineStr">
        <is>
          <t>VÄSTRA GÖTALANDS LÄN</t>
        </is>
      </c>
      <c r="G108" t="inlineStr">
        <is>
          <t>MARK</t>
        </is>
      </c>
      <c r="I108" t="n">
        <v>3.9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6156-2022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44599</v>
      </c>
      <c r="E109" s="1" t="n">
        <v>46326</v>
      </c>
      <c r="F109" t="inlineStr">
        <is>
          <t>VÄSTRA GÖTALANDS LÄN</t>
        </is>
      </c>
      <c r="G109" t="inlineStr">
        <is>
          <t>MARK</t>
        </is>
      </c>
      <c r="I109" t="n">
        <v>3.7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15292-2025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45745</v>
      </c>
      <c r="E110" s="1" t="n">
        <v>46326</v>
      </c>
      <c r="F110" t="inlineStr">
        <is>
          <t>VÄSTRA GÖTALANDS LÄN</t>
        </is>
      </c>
      <c r="G110" t="inlineStr">
        <is>
          <t>MARK</t>
        </is>
      </c>
      <c r="I110" t="n">
        <v>2.2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272-2024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45294</v>
      </c>
      <c r="E111" s="1" t="n">
        <v>46326</v>
      </c>
      <c r="F111" t="inlineStr">
        <is>
          <t>VÄSTRA GÖTALANDS LÄN</t>
        </is>
      </c>
      <c r="G111" t="inlineStr">
        <is>
          <t>MARK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11912-2024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45376</v>
      </c>
      <c r="E112" s="1" t="n">
        <v>46326</v>
      </c>
      <c r="F112" t="inlineStr">
        <is>
          <t>VÄSTRA GÖTALANDS LÄN</t>
        </is>
      </c>
      <c r="G112" t="inlineStr">
        <is>
          <t>MARK</t>
        </is>
      </c>
      <c r="I112" t="n">
        <v>2.3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7455-2022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44607</v>
      </c>
      <c r="E113" s="1" t="n">
        <v>46326</v>
      </c>
      <c r="F113" t="inlineStr">
        <is>
          <t>VÄSTRA GÖTALANDS LÄN</t>
        </is>
      </c>
      <c r="G113" t="inlineStr">
        <is>
          <t>MARK</t>
        </is>
      </c>
      <c r="I113" t="n">
        <v>1.6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57779-2024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45631</v>
      </c>
      <c r="E114" s="1" t="n">
        <v>46326</v>
      </c>
      <c r="F114" t="inlineStr">
        <is>
          <t>VÄSTRA GÖTALANDS LÄN</t>
        </is>
      </c>
      <c r="G114" t="inlineStr">
        <is>
          <t>MARK</t>
        </is>
      </c>
      <c r="I114" t="n">
        <v>1.6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37737-2022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44810</v>
      </c>
      <c r="E115" s="1" t="n">
        <v>46326</v>
      </c>
      <c r="F115" t="inlineStr">
        <is>
          <t>VÄSTRA GÖTALANDS LÄN</t>
        </is>
      </c>
      <c r="G115" t="inlineStr">
        <is>
          <t>MARK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16123-2024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45406</v>
      </c>
      <c r="E116" s="1" t="n">
        <v>46326</v>
      </c>
      <c r="F116" t="inlineStr">
        <is>
          <t>VÄSTRA GÖTALANDS LÄN</t>
        </is>
      </c>
      <c r="G116" t="inlineStr">
        <is>
          <t>MARK</t>
        </is>
      </c>
      <c r="I116" t="n">
        <v>2.7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34162-2023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45137</v>
      </c>
      <c r="E117" s="1" t="n">
        <v>46326</v>
      </c>
      <c r="F117" t="inlineStr">
        <is>
          <t>VÄSTRA GÖTALANDS LÄN</t>
        </is>
      </c>
      <c r="G117" t="inlineStr">
        <is>
          <t>MARK</t>
        </is>
      </c>
      <c r="I117" t="n">
        <v>9.300000000000001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1176-2023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44935</v>
      </c>
      <c r="E118" s="1" t="n">
        <v>46326</v>
      </c>
      <c r="F118" t="inlineStr">
        <is>
          <t>VÄSTRA GÖTALANDS LÄN</t>
        </is>
      </c>
      <c r="G118" t="inlineStr">
        <is>
          <t>MARK</t>
        </is>
      </c>
      <c r="I118" t="n">
        <v>1.4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9265-2024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45358</v>
      </c>
      <c r="E119" s="1" t="n">
        <v>46326</v>
      </c>
      <c r="F119" t="inlineStr">
        <is>
          <t>VÄSTRA GÖTALANDS LÄN</t>
        </is>
      </c>
      <c r="G119" t="inlineStr">
        <is>
          <t>MARK</t>
        </is>
      </c>
      <c r="I119" t="n">
        <v>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34071-2023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45135</v>
      </c>
      <c r="E120" s="1" t="n">
        <v>46326</v>
      </c>
      <c r="F120" t="inlineStr">
        <is>
          <t>VÄSTRA GÖTALANDS LÄN</t>
        </is>
      </c>
      <c r="G120" t="inlineStr">
        <is>
          <t>MARK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3987-2023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44950</v>
      </c>
      <c r="E121" s="1" t="n">
        <v>46326</v>
      </c>
      <c r="F121" t="inlineStr">
        <is>
          <t>VÄSTRA GÖTALANDS LÄN</t>
        </is>
      </c>
      <c r="G121" t="inlineStr">
        <is>
          <t>MARK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15176-2023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45016</v>
      </c>
      <c r="E122" s="1" t="n">
        <v>46326</v>
      </c>
      <c r="F122" t="inlineStr">
        <is>
          <t>VÄSTRA GÖTALANDS LÄN</t>
        </is>
      </c>
      <c r="G122" t="inlineStr">
        <is>
          <t>MARK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53022-2024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45611</v>
      </c>
      <c r="E123" s="1" t="n">
        <v>46326</v>
      </c>
      <c r="F123" t="inlineStr">
        <is>
          <t>VÄSTRA GÖTALANDS LÄN</t>
        </is>
      </c>
      <c r="G123" t="inlineStr">
        <is>
          <t>MARK</t>
        </is>
      </c>
      <c r="I123" t="n">
        <v>1.4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10469-2023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44987</v>
      </c>
      <c r="E124" s="1" t="n">
        <v>46326</v>
      </c>
      <c r="F124" t="inlineStr">
        <is>
          <t>VÄSTRA GÖTALANDS LÄN</t>
        </is>
      </c>
      <c r="G124" t="inlineStr">
        <is>
          <t>MARK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51446-2024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45604</v>
      </c>
      <c r="E125" s="1" t="n">
        <v>46326</v>
      </c>
      <c r="F125" t="inlineStr">
        <is>
          <t>VÄSTRA GÖTALANDS LÄN</t>
        </is>
      </c>
      <c r="G125" t="inlineStr">
        <is>
          <t>MARK</t>
        </is>
      </c>
      <c r="I125" t="n">
        <v>0.8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53979-2023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45231</v>
      </c>
      <c r="E126" s="1" t="n">
        <v>46326</v>
      </c>
      <c r="F126" t="inlineStr">
        <is>
          <t>VÄSTRA GÖTALANDS LÄN</t>
        </is>
      </c>
      <c r="G126" t="inlineStr">
        <is>
          <t>MARK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15864-2023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45022</v>
      </c>
      <c r="E127" s="1" t="n">
        <v>46326</v>
      </c>
      <c r="F127" t="inlineStr">
        <is>
          <t>VÄSTRA GÖTALANDS LÄN</t>
        </is>
      </c>
      <c r="G127" t="inlineStr">
        <is>
          <t>MARK</t>
        </is>
      </c>
      <c r="I127" t="n">
        <v>2.5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44610-2023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45189</v>
      </c>
      <c r="E128" s="1" t="n">
        <v>46326</v>
      </c>
      <c r="F128" t="inlineStr">
        <is>
          <t>VÄSTRA GÖTALANDS LÄN</t>
        </is>
      </c>
      <c r="G128" t="inlineStr">
        <is>
          <t>MARK</t>
        </is>
      </c>
      <c r="I128" t="n">
        <v>2.2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5466-2024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45332</v>
      </c>
      <c r="E129" s="1" t="n">
        <v>46326</v>
      </c>
      <c r="F129" t="inlineStr">
        <is>
          <t>VÄSTRA GÖTALANDS LÄN</t>
        </is>
      </c>
      <c r="G129" t="inlineStr">
        <is>
          <t>MARK</t>
        </is>
      </c>
      <c r="I129" t="n">
        <v>6.8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5467-2024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45332</v>
      </c>
      <c r="E130" s="1" t="n">
        <v>46326</v>
      </c>
      <c r="F130" t="inlineStr">
        <is>
          <t>VÄSTRA GÖTALANDS LÄN</t>
        </is>
      </c>
      <c r="G130" t="inlineStr">
        <is>
          <t>MARK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8403-2022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44610</v>
      </c>
      <c r="E131" s="1" t="n">
        <v>46326</v>
      </c>
      <c r="F131" t="inlineStr">
        <is>
          <t>VÄSTRA GÖTALANDS LÄN</t>
        </is>
      </c>
      <c r="G131" t="inlineStr">
        <is>
          <t>MARK</t>
        </is>
      </c>
      <c r="I131" t="n">
        <v>5.4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56194-2024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45624</v>
      </c>
      <c r="E132" s="1" t="n">
        <v>46326</v>
      </c>
      <c r="F132" t="inlineStr">
        <is>
          <t>VÄSTRA GÖTALANDS LÄN</t>
        </is>
      </c>
      <c r="G132" t="inlineStr">
        <is>
          <t>MARK</t>
        </is>
      </c>
      <c r="I132" t="n">
        <v>5.6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56221-2024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45624</v>
      </c>
      <c r="E133" s="1" t="n">
        <v>46326</v>
      </c>
      <c r="F133" t="inlineStr">
        <is>
          <t>VÄSTRA GÖTALANDS LÄN</t>
        </is>
      </c>
      <c r="G133" t="inlineStr">
        <is>
          <t>MARK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24781-2025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45799</v>
      </c>
      <c r="E134" s="1" t="n">
        <v>46326</v>
      </c>
      <c r="F134" t="inlineStr">
        <is>
          <t>VÄSTRA GÖTALANDS LÄN</t>
        </is>
      </c>
      <c r="G134" t="inlineStr">
        <is>
          <t>MARK</t>
        </is>
      </c>
      <c r="I134" t="n">
        <v>2.3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25911-2022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44734</v>
      </c>
      <c r="E135" s="1" t="n">
        <v>46326</v>
      </c>
      <c r="F135" t="inlineStr">
        <is>
          <t>VÄSTRA GÖTALANDS LÄN</t>
        </is>
      </c>
      <c r="G135" t="inlineStr">
        <is>
          <t>MARK</t>
        </is>
      </c>
      <c r="I135" t="n">
        <v>2.2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35391-2025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45855</v>
      </c>
      <c r="E136" s="1" t="n">
        <v>46326</v>
      </c>
      <c r="F136" t="inlineStr">
        <is>
          <t>VÄSTRA GÖTALANDS LÄN</t>
        </is>
      </c>
      <c r="G136" t="inlineStr">
        <is>
          <t>MARK</t>
        </is>
      </c>
      <c r="I136" t="n">
        <v>2.3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35393-2025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45855</v>
      </c>
      <c r="E137" s="1" t="n">
        <v>46326</v>
      </c>
      <c r="F137" t="inlineStr">
        <is>
          <t>VÄSTRA GÖTALANDS LÄN</t>
        </is>
      </c>
      <c r="G137" t="inlineStr">
        <is>
          <t>MARK</t>
        </is>
      </c>
      <c r="I137" t="n">
        <v>3.1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47405-2024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45587</v>
      </c>
      <c r="E138" s="1" t="n">
        <v>46326</v>
      </c>
      <c r="F138" t="inlineStr">
        <is>
          <t>VÄSTRA GÖTALANDS LÄN</t>
        </is>
      </c>
      <c r="G138" t="inlineStr">
        <is>
          <t>MARK</t>
        </is>
      </c>
      <c r="I138" t="n">
        <v>0.8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9559-2023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44982</v>
      </c>
      <c r="E139" s="1" t="n">
        <v>46326</v>
      </c>
      <c r="F139" t="inlineStr">
        <is>
          <t>VÄSTRA GÖTALANDS LÄN</t>
        </is>
      </c>
      <c r="G139" t="inlineStr">
        <is>
          <t>MARK</t>
        </is>
      </c>
      <c r="I139" t="n">
        <v>6.5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7019-2024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45343</v>
      </c>
      <c r="E140" s="1" t="n">
        <v>46326</v>
      </c>
      <c r="F140" t="inlineStr">
        <is>
          <t>VÄSTRA GÖTALANDS LÄN</t>
        </is>
      </c>
      <c r="G140" t="inlineStr">
        <is>
          <t>MARK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18280-2024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45422</v>
      </c>
      <c r="E141" s="1" t="n">
        <v>46326</v>
      </c>
      <c r="F141" t="inlineStr">
        <is>
          <t>VÄSTRA GÖTALANDS LÄN</t>
        </is>
      </c>
      <c r="G141" t="inlineStr">
        <is>
          <t>MARK</t>
        </is>
      </c>
      <c r="I141" t="n">
        <v>0.4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56904-2023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45244</v>
      </c>
      <c r="E142" s="1" t="n">
        <v>46326</v>
      </c>
      <c r="F142" t="inlineStr">
        <is>
          <t>VÄSTRA GÖTALANDS LÄN</t>
        </is>
      </c>
      <c r="G142" t="inlineStr">
        <is>
          <t>MARK</t>
        </is>
      </c>
      <c r="I142" t="n">
        <v>1.9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26255-2025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45805</v>
      </c>
      <c r="E143" s="1" t="n">
        <v>46326</v>
      </c>
      <c r="F143" t="inlineStr">
        <is>
          <t>VÄSTRA GÖTALANDS LÄN</t>
        </is>
      </c>
      <c r="G143" t="inlineStr">
        <is>
          <t>MARK</t>
        </is>
      </c>
      <c r="I143" t="n">
        <v>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30381-2022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44760</v>
      </c>
      <c r="E144" s="1" t="n">
        <v>46326</v>
      </c>
      <c r="F144" t="inlineStr">
        <is>
          <t>VÄSTRA GÖTALANDS LÄN</t>
        </is>
      </c>
      <c r="G144" t="inlineStr">
        <is>
          <t>MARK</t>
        </is>
      </c>
      <c r="I144" t="n">
        <v>1.2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26515-2025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45807</v>
      </c>
      <c r="E145" s="1" t="n">
        <v>46326</v>
      </c>
      <c r="F145" t="inlineStr">
        <is>
          <t>VÄSTRA GÖTALANDS LÄN</t>
        </is>
      </c>
      <c r="G145" t="inlineStr">
        <is>
          <t>MARK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16541-2025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45751</v>
      </c>
      <c r="E146" s="1" t="n">
        <v>46326</v>
      </c>
      <c r="F146" t="inlineStr">
        <is>
          <t>VÄSTRA GÖTALANDS LÄN</t>
        </is>
      </c>
      <c r="G146" t="inlineStr">
        <is>
          <t>MARK</t>
        </is>
      </c>
      <c r="I146" t="n">
        <v>2.9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30577-2022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44762</v>
      </c>
      <c r="E147" s="1" t="n">
        <v>46326</v>
      </c>
      <c r="F147" t="inlineStr">
        <is>
          <t>VÄSTRA GÖTALANDS LÄN</t>
        </is>
      </c>
      <c r="G147" t="inlineStr">
        <is>
          <t>MARK</t>
        </is>
      </c>
      <c r="I147" t="n">
        <v>3.9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11576-2024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45373</v>
      </c>
      <c r="E148" s="1" t="n">
        <v>46326</v>
      </c>
      <c r="F148" t="inlineStr">
        <is>
          <t>VÄSTRA GÖTALANDS LÄN</t>
        </is>
      </c>
      <c r="G148" t="inlineStr">
        <is>
          <t>MARK</t>
        </is>
      </c>
      <c r="I148" t="n">
        <v>5.2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20896-2023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45059</v>
      </c>
      <c r="E149" s="1" t="n">
        <v>46326</v>
      </c>
      <c r="F149" t="inlineStr">
        <is>
          <t>VÄSTRA GÖTALANDS LÄN</t>
        </is>
      </c>
      <c r="G149" t="inlineStr">
        <is>
          <t>MARK</t>
        </is>
      </c>
      <c r="I149" t="n">
        <v>0.8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53032-2024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45611</v>
      </c>
      <c r="E150" s="1" t="n">
        <v>46326</v>
      </c>
      <c r="F150" t="inlineStr">
        <is>
          <t>VÄSTRA GÖTALANDS LÄN</t>
        </is>
      </c>
      <c r="G150" t="inlineStr">
        <is>
          <t>MARK</t>
        </is>
      </c>
      <c r="I150" t="n">
        <v>2.9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38553-2025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45884</v>
      </c>
      <c r="E151" s="1" t="n">
        <v>46326</v>
      </c>
      <c r="F151" t="inlineStr">
        <is>
          <t>VÄSTRA GÖTALANDS LÄN</t>
        </is>
      </c>
      <c r="G151" t="inlineStr">
        <is>
          <t>MARK</t>
        </is>
      </c>
      <c r="I151" t="n">
        <v>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8918-2023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44973</v>
      </c>
      <c r="E152" s="1" t="n">
        <v>46326</v>
      </c>
      <c r="F152" t="inlineStr">
        <is>
          <t>VÄSTRA GÖTALANDS LÄN</t>
        </is>
      </c>
      <c r="G152" t="inlineStr">
        <is>
          <t>MARK</t>
        </is>
      </c>
      <c r="I152" t="n">
        <v>0.4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18337-2022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44685</v>
      </c>
      <c r="E153" s="1" t="n">
        <v>46326</v>
      </c>
      <c r="F153" t="inlineStr">
        <is>
          <t>VÄSTRA GÖTALANDS LÄN</t>
        </is>
      </c>
      <c r="G153" t="inlineStr">
        <is>
          <t>MARK</t>
        </is>
      </c>
      <c r="I153" t="n">
        <v>1.9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44573-2024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45574</v>
      </c>
      <c r="E154" s="1" t="n">
        <v>46326</v>
      </c>
      <c r="F154" t="inlineStr">
        <is>
          <t>VÄSTRA GÖTALANDS LÄN</t>
        </is>
      </c>
      <c r="G154" t="inlineStr">
        <is>
          <t>MARK</t>
        </is>
      </c>
      <c r="I154" t="n">
        <v>1.4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35431-2022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44798</v>
      </c>
      <c r="E155" s="1" t="n">
        <v>46326</v>
      </c>
      <c r="F155" t="inlineStr">
        <is>
          <t>VÄSTRA GÖTALANDS LÄN</t>
        </is>
      </c>
      <c r="G155" t="inlineStr">
        <is>
          <t>MARK</t>
        </is>
      </c>
      <c r="H155" t="inlineStr">
        <is>
          <t>Sveaskog</t>
        </is>
      </c>
      <c r="I155" t="n">
        <v>8.5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871-2026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46030</v>
      </c>
      <c r="E156" s="1" t="n">
        <v>46326</v>
      </c>
      <c r="F156" t="inlineStr">
        <is>
          <t>VÄSTRA GÖTALANDS LÄN</t>
        </is>
      </c>
      <c r="G156" t="inlineStr">
        <is>
          <t>MARK</t>
        </is>
      </c>
      <c r="I156" t="n">
        <v>2.8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56905-2023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45244</v>
      </c>
      <c r="E157" s="1" t="n">
        <v>46326</v>
      </c>
      <c r="F157" t="inlineStr">
        <is>
          <t>VÄSTRA GÖTALANDS LÄN</t>
        </is>
      </c>
      <c r="G157" t="inlineStr">
        <is>
          <t>MARK</t>
        </is>
      </c>
      <c r="I157" t="n">
        <v>1.7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39160-2025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45888</v>
      </c>
      <c r="E158" s="1" t="n">
        <v>46326</v>
      </c>
      <c r="F158" t="inlineStr">
        <is>
          <t>VÄSTRA GÖTALANDS LÄN</t>
        </is>
      </c>
      <c r="G158" t="inlineStr">
        <is>
          <t>MARK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14692-2024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45397</v>
      </c>
      <c r="E159" s="1" t="n">
        <v>46326</v>
      </c>
      <c r="F159" t="inlineStr">
        <is>
          <t>VÄSTRA GÖTALANDS LÄN</t>
        </is>
      </c>
      <c r="G159" t="inlineStr">
        <is>
          <t>MARK</t>
        </is>
      </c>
      <c r="I159" t="n">
        <v>1.7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39122-2025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45888</v>
      </c>
      <c r="E160" s="1" t="n">
        <v>46326</v>
      </c>
      <c r="F160" t="inlineStr">
        <is>
          <t>VÄSTRA GÖTALANDS LÄN</t>
        </is>
      </c>
      <c r="G160" t="inlineStr">
        <is>
          <t>MARK</t>
        </is>
      </c>
      <c r="I160" t="n">
        <v>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39274-2025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45889</v>
      </c>
      <c r="E161" s="1" t="n">
        <v>46326</v>
      </c>
      <c r="F161" t="inlineStr">
        <is>
          <t>VÄSTRA GÖTALANDS LÄN</t>
        </is>
      </c>
      <c r="G161" t="inlineStr">
        <is>
          <t>MARK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16354-2025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45751</v>
      </c>
      <c r="E162" s="1" t="n">
        <v>46326</v>
      </c>
      <c r="F162" t="inlineStr">
        <is>
          <t>VÄSTRA GÖTALANDS LÄN</t>
        </is>
      </c>
      <c r="G162" t="inlineStr">
        <is>
          <t>MARK</t>
        </is>
      </c>
      <c r="I162" t="n">
        <v>1.2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1814-2022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44574</v>
      </c>
      <c r="E163" s="1" t="n">
        <v>46326</v>
      </c>
      <c r="F163" t="inlineStr">
        <is>
          <t>VÄSTRA GÖTALANDS LÄN</t>
        </is>
      </c>
      <c r="G163" t="inlineStr">
        <is>
          <t>MARK</t>
        </is>
      </c>
      <c r="I163" t="n">
        <v>4.3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949-2026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46030</v>
      </c>
      <c r="E164" s="1" t="n">
        <v>46326</v>
      </c>
      <c r="F164" t="inlineStr">
        <is>
          <t>VÄSTRA GÖTALANDS LÄN</t>
        </is>
      </c>
      <c r="G164" t="inlineStr">
        <is>
          <t>MARK</t>
        </is>
      </c>
      <c r="I164" t="n">
        <v>5.6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16615-2023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45030</v>
      </c>
      <c r="E165" s="1" t="n">
        <v>46326</v>
      </c>
      <c r="F165" t="inlineStr">
        <is>
          <t>VÄSTRA GÖTALANDS LÄN</t>
        </is>
      </c>
      <c r="G165" t="inlineStr">
        <is>
          <t>MARK</t>
        </is>
      </c>
      <c r="H165" t="inlineStr">
        <is>
          <t>Sveaskog</t>
        </is>
      </c>
      <c r="I165" t="n">
        <v>3.1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39858-2025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45891</v>
      </c>
      <c r="E166" s="1" t="n">
        <v>46326</v>
      </c>
      <c r="F166" t="inlineStr">
        <is>
          <t>VÄSTRA GÖTALANDS LÄN</t>
        </is>
      </c>
      <c r="G166" t="inlineStr">
        <is>
          <t>MARK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1629-2026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46034</v>
      </c>
      <c r="E167" s="1" t="n">
        <v>46326</v>
      </c>
      <c r="F167" t="inlineStr">
        <is>
          <t>VÄSTRA GÖTALANDS LÄN</t>
        </is>
      </c>
      <c r="G167" t="inlineStr">
        <is>
          <t>MARK</t>
        </is>
      </c>
      <c r="I167" t="n">
        <v>2.9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51458-2024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45604</v>
      </c>
      <c r="E168" s="1" t="n">
        <v>46326</v>
      </c>
      <c r="F168" t="inlineStr">
        <is>
          <t>VÄSTRA GÖTALANDS LÄN</t>
        </is>
      </c>
      <c r="G168" t="inlineStr">
        <is>
          <t>MARK</t>
        </is>
      </c>
      <c r="I168" t="n">
        <v>2.8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1637-2026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46034</v>
      </c>
      <c r="E169" s="1" t="n">
        <v>46326</v>
      </c>
      <c r="F169" t="inlineStr">
        <is>
          <t>VÄSTRA GÖTALANDS LÄN</t>
        </is>
      </c>
      <c r="G169" t="inlineStr">
        <is>
          <t>MARK</t>
        </is>
      </c>
      <c r="I169" t="n">
        <v>3.6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1642-2026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46034</v>
      </c>
      <c r="E170" s="1" t="n">
        <v>46326</v>
      </c>
      <c r="F170" t="inlineStr">
        <is>
          <t>VÄSTRA GÖTALANDS LÄN</t>
        </is>
      </c>
      <c r="G170" t="inlineStr">
        <is>
          <t>MARK</t>
        </is>
      </c>
      <c r="I170" t="n">
        <v>0.4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40258-2025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45895</v>
      </c>
      <c r="E171" s="1" t="n">
        <v>46326</v>
      </c>
      <c r="F171" t="inlineStr">
        <is>
          <t>VÄSTRA GÖTALANDS LÄN</t>
        </is>
      </c>
      <c r="G171" t="inlineStr">
        <is>
          <t>MARK</t>
        </is>
      </c>
      <c r="I171" t="n">
        <v>3.4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2626-2026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46037</v>
      </c>
      <c r="E172" s="1" t="n">
        <v>46326</v>
      </c>
      <c r="F172" t="inlineStr">
        <is>
          <t>VÄSTRA GÖTALANDS LÄN</t>
        </is>
      </c>
      <c r="G172" t="inlineStr">
        <is>
          <t>MARK</t>
        </is>
      </c>
      <c r="I172" t="n">
        <v>0.4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16001-2025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45749</v>
      </c>
      <c r="E173" s="1" t="n">
        <v>46326</v>
      </c>
      <c r="F173" t="inlineStr">
        <is>
          <t>VÄSTRA GÖTALANDS LÄN</t>
        </is>
      </c>
      <c r="G173" t="inlineStr">
        <is>
          <t>MARK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28178-2025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45818</v>
      </c>
      <c r="E174" s="1" t="n">
        <v>46326</v>
      </c>
      <c r="F174" t="inlineStr">
        <is>
          <t>VÄSTRA GÖTALANDS LÄN</t>
        </is>
      </c>
      <c r="G174" t="inlineStr">
        <is>
          <t>MARK</t>
        </is>
      </c>
      <c r="I174" t="n">
        <v>5.2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61120-2023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45261</v>
      </c>
      <c r="E175" s="1" t="n">
        <v>46326</v>
      </c>
      <c r="F175" t="inlineStr">
        <is>
          <t>VÄSTRA GÖTALANDS LÄN</t>
        </is>
      </c>
      <c r="G175" t="inlineStr">
        <is>
          <t>MARK</t>
        </is>
      </c>
      <c r="I175" t="n">
        <v>3.5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40645-2025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45896</v>
      </c>
      <c r="E176" s="1" t="n">
        <v>46326</v>
      </c>
      <c r="F176" t="inlineStr">
        <is>
          <t>VÄSTRA GÖTALANDS LÄN</t>
        </is>
      </c>
      <c r="G176" t="inlineStr">
        <is>
          <t>MARK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4131-2022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44588</v>
      </c>
      <c r="E177" s="1" t="n">
        <v>46326</v>
      </c>
      <c r="F177" t="inlineStr">
        <is>
          <t>VÄSTRA GÖTALANDS LÄN</t>
        </is>
      </c>
      <c r="G177" t="inlineStr">
        <is>
          <t>MARK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4136-2022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44588</v>
      </c>
      <c r="E178" s="1" t="n">
        <v>46326</v>
      </c>
      <c r="F178" t="inlineStr">
        <is>
          <t>VÄSTRA GÖTALANDS LÄN</t>
        </is>
      </c>
      <c r="G178" t="inlineStr">
        <is>
          <t>MARK</t>
        </is>
      </c>
      <c r="I178" t="n">
        <v>0.9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2616-2026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46037</v>
      </c>
      <c r="E179" s="1" t="n">
        <v>46326</v>
      </c>
      <c r="F179" t="inlineStr">
        <is>
          <t>VÄSTRA GÖTALANDS LÄN</t>
        </is>
      </c>
      <c r="G179" t="inlineStr">
        <is>
          <t>MARK</t>
        </is>
      </c>
      <c r="I179" t="n">
        <v>3.4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40609-2025</t>
        </is>
      </c>
      <c r="B180" t="inlineStr">
        <is>
          <t>avverkningsanmälan</t>
        </is>
      </c>
      <c r="C180" t="inlineStr">
        <is>
          <t>Avverkning för att bevara och utveckla /försöksver</t>
        </is>
      </c>
      <c r="D180" s="1" t="n">
        <v>45896</v>
      </c>
      <c r="E180" s="1" t="n">
        <v>46326</v>
      </c>
      <c r="F180" t="inlineStr">
        <is>
          <t>VÄSTRA GÖTALANDS LÄN</t>
        </is>
      </c>
      <c r="G180" t="inlineStr">
        <is>
          <t>MARK</t>
        </is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40631-2025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45896</v>
      </c>
      <c r="E181" s="1" t="n">
        <v>46326</v>
      </c>
      <c r="F181" t="inlineStr">
        <is>
          <t>VÄSTRA GÖTALANDS LÄN</t>
        </is>
      </c>
      <c r="G181" t="inlineStr">
        <is>
          <t>MARK</t>
        </is>
      </c>
      <c r="I181" t="n">
        <v>2.7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20415-2025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45775</v>
      </c>
      <c r="E182" s="1" t="n">
        <v>46326</v>
      </c>
      <c r="F182" t="inlineStr">
        <is>
          <t>VÄSTRA GÖTALANDS LÄN</t>
        </is>
      </c>
      <c r="G182" t="inlineStr">
        <is>
          <t>MARK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41132-2025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45898</v>
      </c>
      <c r="E183" s="1" t="n">
        <v>46326</v>
      </c>
      <c r="F183" t="inlineStr">
        <is>
          <t>VÄSTRA GÖTALANDS LÄN</t>
        </is>
      </c>
      <c r="G183" t="inlineStr">
        <is>
          <t>MARK</t>
        </is>
      </c>
      <c r="I183" t="n">
        <v>1.9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8597-2024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45355</v>
      </c>
      <c r="E184" s="1" t="n">
        <v>46326</v>
      </c>
      <c r="F184" t="inlineStr">
        <is>
          <t>VÄSTRA GÖTALANDS LÄN</t>
        </is>
      </c>
      <c r="G184" t="inlineStr">
        <is>
          <t>MARK</t>
        </is>
      </c>
      <c r="I184" t="n">
        <v>3.7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40965-2025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45897</v>
      </c>
      <c r="E185" s="1" t="n">
        <v>46326</v>
      </c>
      <c r="F185" t="inlineStr">
        <is>
          <t>VÄSTRA GÖTALANDS LÄN</t>
        </is>
      </c>
      <c r="G185" t="inlineStr">
        <is>
          <t>MARK</t>
        </is>
      </c>
      <c r="I185" t="n">
        <v>1.6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2515-2026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46037</v>
      </c>
      <c r="E186" s="1" t="n">
        <v>46326</v>
      </c>
      <c r="F186" t="inlineStr">
        <is>
          <t>VÄSTRA GÖTALANDS LÄN</t>
        </is>
      </c>
      <c r="G186" t="inlineStr">
        <is>
          <t>MARK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2509-2026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46037</v>
      </c>
      <c r="E187" s="1" t="n">
        <v>46326</v>
      </c>
      <c r="F187" t="inlineStr">
        <is>
          <t>VÄSTRA GÖTALANDS LÄN</t>
        </is>
      </c>
      <c r="G187" t="inlineStr">
        <is>
          <t>MARK</t>
        </is>
      </c>
      <c r="I187" t="n">
        <v>0.4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3047-2026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46038</v>
      </c>
      <c r="E188" s="1" t="n">
        <v>46326</v>
      </c>
      <c r="F188" t="inlineStr">
        <is>
          <t>VÄSTRA GÖTALANDS LÄN</t>
        </is>
      </c>
      <c r="G188" t="inlineStr">
        <is>
          <t>MARK</t>
        </is>
      </c>
      <c r="I188" t="n">
        <v>3.3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10657-2025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45721</v>
      </c>
      <c r="E189" s="1" t="n">
        <v>46326</v>
      </c>
      <c r="F189" t="inlineStr">
        <is>
          <t>VÄSTRA GÖTALANDS LÄN</t>
        </is>
      </c>
      <c r="G189" t="inlineStr">
        <is>
          <t>MARK</t>
        </is>
      </c>
      <c r="I189" t="n">
        <v>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57399-2022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44896</v>
      </c>
      <c r="E190" s="1" t="n">
        <v>46326</v>
      </c>
      <c r="F190" t="inlineStr">
        <is>
          <t>VÄSTRA GÖTALANDS LÄN</t>
        </is>
      </c>
      <c r="G190" t="inlineStr">
        <is>
          <t>MARK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9890-2025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45716</v>
      </c>
      <c r="E191" s="1" t="n">
        <v>46326</v>
      </c>
      <c r="F191" t="inlineStr">
        <is>
          <t>VÄSTRA GÖTALANDS LÄN</t>
        </is>
      </c>
      <c r="G191" t="inlineStr">
        <is>
          <t>MARK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14902-2025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45743</v>
      </c>
      <c r="E192" s="1" t="n">
        <v>46326</v>
      </c>
      <c r="F192" t="inlineStr">
        <is>
          <t>VÄSTRA GÖTALANDS LÄN</t>
        </is>
      </c>
      <c r="G192" t="inlineStr">
        <is>
          <t>MARK</t>
        </is>
      </c>
      <c r="I192" t="n">
        <v>4.6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15023-2025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45743</v>
      </c>
      <c r="E193" s="1" t="n">
        <v>46326</v>
      </c>
      <c r="F193" t="inlineStr">
        <is>
          <t>VÄSTRA GÖTALANDS LÄN</t>
        </is>
      </c>
      <c r="G193" t="inlineStr">
        <is>
          <t>MARK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2794-2026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46038</v>
      </c>
      <c r="E194" s="1" t="n">
        <v>46326</v>
      </c>
      <c r="F194" t="inlineStr">
        <is>
          <t>VÄSTRA GÖTALANDS LÄN</t>
        </is>
      </c>
      <c r="G194" t="inlineStr">
        <is>
          <t>MARK</t>
        </is>
      </c>
      <c r="H194" t="inlineStr">
        <is>
          <t>Kyrkan</t>
        </is>
      </c>
      <c r="I194" t="n">
        <v>5.4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14749-2024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45397</v>
      </c>
      <c r="E195" s="1" t="n">
        <v>46326</v>
      </c>
      <c r="F195" t="inlineStr">
        <is>
          <t>VÄSTRA GÖTALANDS LÄN</t>
        </is>
      </c>
      <c r="G195" t="inlineStr">
        <is>
          <t>MARK</t>
        </is>
      </c>
      <c r="I195" t="n">
        <v>1.9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11928-2025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45728</v>
      </c>
      <c r="E196" s="1" t="n">
        <v>46326</v>
      </c>
      <c r="F196" t="inlineStr">
        <is>
          <t>VÄSTRA GÖTALANDS LÄN</t>
        </is>
      </c>
      <c r="G196" t="inlineStr">
        <is>
          <t>MARK</t>
        </is>
      </c>
      <c r="I196" t="n">
        <v>2.9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14977-2025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45743</v>
      </c>
      <c r="E197" s="1" t="n">
        <v>46326</v>
      </c>
      <c r="F197" t="inlineStr">
        <is>
          <t>VÄSTRA GÖTALANDS LÄN</t>
        </is>
      </c>
      <c r="G197" t="inlineStr">
        <is>
          <t>MARK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30122-2025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45826</v>
      </c>
      <c r="E198" s="1" t="n">
        <v>46326</v>
      </c>
      <c r="F198" t="inlineStr">
        <is>
          <t>VÄSTRA GÖTALANDS LÄN</t>
        </is>
      </c>
      <c r="G198" t="inlineStr">
        <is>
          <t>MARK</t>
        </is>
      </c>
      <c r="H198" t="inlineStr">
        <is>
          <t>Sveaskog</t>
        </is>
      </c>
      <c r="I198" t="n">
        <v>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14128-2025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45740</v>
      </c>
      <c r="E199" s="1" t="n">
        <v>46326</v>
      </c>
      <c r="F199" t="inlineStr">
        <is>
          <t>VÄSTRA GÖTALANDS LÄN</t>
        </is>
      </c>
      <c r="G199" t="inlineStr">
        <is>
          <t>MARK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14999-2025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45743</v>
      </c>
      <c r="E200" s="1" t="n">
        <v>46326</v>
      </c>
      <c r="F200" t="inlineStr">
        <is>
          <t>VÄSTRA GÖTALANDS LÄN</t>
        </is>
      </c>
      <c r="G200" t="inlineStr">
        <is>
          <t>MARK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14546-2025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45741</v>
      </c>
      <c r="E201" s="1" t="n">
        <v>46326</v>
      </c>
      <c r="F201" t="inlineStr">
        <is>
          <t>VÄSTRA GÖTALANDS LÄN</t>
        </is>
      </c>
      <c r="G201" t="inlineStr">
        <is>
          <t>MARK</t>
        </is>
      </c>
      <c r="H201" t="inlineStr">
        <is>
          <t>Sveaskog</t>
        </is>
      </c>
      <c r="I201" t="n">
        <v>2.6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30797-2025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45831</v>
      </c>
      <c r="E202" s="1" t="n">
        <v>46326</v>
      </c>
      <c r="F202" t="inlineStr">
        <is>
          <t>VÄSTRA GÖTALANDS LÄN</t>
        </is>
      </c>
      <c r="G202" t="inlineStr">
        <is>
          <t>MARK</t>
        </is>
      </c>
      <c r="I202" t="n">
        <v>3.6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42521-2025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45905</v>
      </c>
      <c r="E203" s="1" t="n">
        <v>46326</v>
      </c>
      <c r="F203" t="inlineStr">
        <is>
          <t>VÄSTRA GÖTALANDS LÄN</t>
        </is>
      </c>
      <c r="G203" t="inlineStr">
        <is>
          <t>MARK</t>
        </is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2625-2022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44580</v>
      </c>
      <c r="E204" s="1" t="n">
        <v>46326</v>
      </c>
      <c r="F204" t="inlineStr">
        <is>
          <t>VÄSTRA GÖTALANDS LÄN</t>
        </is>
      </c>
      <c r="G204" t="inlineStr">
        <is>
          <t>MARK</t>
        </is>
      </c>
      <c r="I204" t="n">
        <v>3.7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31454-2025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45833</v>
      </c>
      <c r="E205" s="1" t="n">
        <v>46326</v>
      </c>
      <c r="F205" t="inlineStr">
        <is>
          <t>VÄSTRA GÖTALANDS LÄN</t>
        </is>
      </c>
      <c r="G205" t="inlineStr">
        <is>
          <t>MARK</t>
        </is>
      </c>
      <c r="I205" t="n">
        <v>1.7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31457-2025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45833</v>
      </c>
      <c r="E206" s="1" t="n">
        <v>46326</v>
      </c>
      <c r="F206" t="inlineStr">
        <is>
          <t>VÄSTRA GÖTALANDS LÄN</t>
        </is>
      </c>
      <c r="G206" t="inlineStr">
        <is>
          <t>MARK</t>
        </is>
      </c>
      <c r="I206" t="n">
        <v>4.9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16154-2025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45750</v>
      </c>
      <c r="E207" s="1" t="n">
        <v>46326</v>
      </c>
      <c r="F207" t="inlineStr">
        <is>
          <t>VÄSTRA GÖTALANDS LÄN</t>
        </is>
      </c>
      <c r="G207" t="inlineStr">
        <is>
          <t>MARK</t>
        </is>
      </c>
      <c r="I207" t="n">
        <v>1.2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43027-2025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45909</v>
      </c>
      <c r="E208" s="1" t="n">
        <v>46326</v>
      </c>
      <c r="F208" t="inlineStr">
        <is>
          <t>VÄSTRA GÖTALANDS LÄN</t>
        </is>
      </c>
      <c r="G208" t="inlineStr">
        <is>
          <t>MARK</t>
        </is>
      </c>
      <c r="I208" t="n">
        <v>0.3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31856-2025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45834</v>
      </c>
      <c r="E209" s="1" t="n">
        <v>46326</v>
      </c>
      <c r="F209" t="inlineStr">
        <is>
          <t>VÄSTRA GÖTALANDS LÄN</t>
        </is>
      </c>
      <c r="G209" t="inlineStr">
        <is>
          <t>MARK</t>
        </is>
      </c>
      <c r="I209" t="n">
        <v>3.9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27203-2024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45471</v>
      </c>
      <c r="E210" s="1" t="n">
        <v>46326</v>
      </c>
      <c r="F210" t="inlineStr">
        <is>
          <t>VÄSTRA GÖTALANDS LÄN</t>
        </is>
      </c>
      <c r="G210" t="inlineStr">
        <is>
          <t>MARK</t>
        </is>
      </c>
      <c r="I210" t="n">
        <v>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32649-2025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45838</v>
      </c>
      <c r="E211" s="1" t="n">
        <v>46326</v>
      </c>
      <c r="F211" t="inlineStr">
        <is>
          <t>VÄSTRA GÖTALANDS LÄN</t>
        </is>
      </c>
      <c r="G211" t="inlineStr">
        <is>
          <t>MARK</t>
        </is>
      </c>
      <c r="I211" t="n">
        <v>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32885-2025</t>
        </is>
      </c>
      <c r="B212" t="inlineStr">
        <is>
          <t>avverkningsanmälan</t>
        </is>
      </c>
      <c r="C212" t="inlineStr">
        <is>
          <t>Avverkning för att bevara och utveckla /försöksver</t>
        </is>
      </c>
      <c r="D212" s="1" t="n">
        <v>45839</v>
      </c>
      <c r="E212" s="1" t="n">
        <v>46326</v>
      </c>
      <c r="F212" t="inlineStr">
        <is>
          <t>VÄSTRA GÖTALANDS LÄN</t>
        </is>
      </c>
      <c r="G212" t="inlineStr">
        <is>
          <t>MARK</t>
        </is>
      </c>
      <c r="H212" t="inlineStr">
        <is>
          <t>Sveaskog</t>
        </is>
      </c>
      <c r="I212" t="n">
        <v>4.5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32553-2025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45838</v>
      </c>
      <c r="E213" s="1" t="n">
        <v>46326</v>
      </c>
      <c r="F213" t="inlineStr">
        <is>
          <t>VÄSTRA GÖTALANDS LÄN</t>
        </is>
      </c>
      <c r="G213" t="inlineStr">
        <is>
          <t>MARK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27714-2023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45098</v>
      </c>
      <c r="E214" s="1" t="n">
        <v>46326</v>
      </c>
      <c r="F214" t="inlineStr">
        <is>
          <t>VÄSTRA GÖTALANDS LÄN</t>
        </is>
      </c>
      <c r="G214" t="inlineStr">
        <is>
          <t>MARK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27725-2023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45098</v>
      </c>
      <c r="E215" s="1" t="n">
        <v>46326</v>
      </c>
      <c r="F215" t="inlineStr">
        <is>
          <t>VÄSTRA GÖTALANDS LÄN</t>
        </is>
      </c>
      <c r="G215" t="inlineStr">
        <is>
          <t>MARK</t>
        </is>
      </c>
      <c r="I215" t="n">
        <v>0.2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57891-2024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45631</v>
      </c>
      <c r="E216" s="1" t="n">
        <v>46326</v>
      </c>
      <c r="F216" t="inlineStr">
        <is>
          <t>VÄSTRA GÖTALANDS LÄN</t>
        </is>
      </c>
      <c r="G216" t="inlineStr">
        <is>
          <t>MARK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43293-2023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45183</v>
      </c>
      <c r="E217" s="1" t="n">
        <v>46326</v>
      </c>
      <c r="F217" t="inlineStr">
        <is>
          <t>VÄSTRA GÖTALANDS LÄN</t>
        </is>
      </c>
      <c r="G217" t="inlineStr">
        <is>
          <t>MARK</t>
        </is>
      </c>
      <c r="I217" t="n">
        <v>3.3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33468-2025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45841</v>
      </c>
      <c r="E218" s="1" t="n">
        <v>46326</v>
      </c>
      <c r="F218" t="inlineStr">
        <is>
          <t>VÄSTRA GÖTALANDS LÄN</t>
        </is>
      </c>
      <c r="G218" t="inlineStr">
        <is>
          <t>MARK</t>
        </is>
      </c>
      <c r="I218" t="n">
        <v>4.1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33444-2025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45841</v>
      </c>
      <c r="E219" s="1" t="n">
        <v>46326</v>
      </c>
      <c r="F219" t="inlineStr">
        <is>
          <t>VÄSTRA GÖTALANDS LÄN</t>
        </is>
      </c>
      <c r="G219" t="inlineStr">
        <is>
          <t>MARK</t>
        </is>
      </c>
      <c r="I219" t="n">
        <v>2.1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33352-2025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45841</v>
      </c>
      <c r="E220" s="1" t="n">
        <v>46326</v>
      </c>
      <c r="F220" t="inlineStr">
        <is>
          <t>VÄSTRA GÖTALANDS LÄN</t>
        </is>
      </c>
      <c r="G220" t="inlineStr">
        <is>
          <t>MARK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33356-2025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45841</v>
      </c>
      <c r="E221" s="1" t="n">
        <v>46326</v>
      </c>
      <c r="F221" t="inlineStr">
        <is>
          <t>VÄSTRA GÖTALANDS LÄN</t>
        </is>
      </c>
      <c r="G221" t="inlineStr">
        <is>
          <t>MARK</t>
        </is>
      </c>
      <c r="I221" t="n">
        <v>6.2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33330-2025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45841</v>
      </c>
      <c r="E222" s="1" t="n">
        <v>46326</v>
      </c>
      <c r="F222" t="inlineStr">
        <is>
          <t>VÄSTRA GÖTALANDS LÄN</t>
        </is>
      </c>
      <c r="G222" t="inlineStr">
        <is>
          <t>MARK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33365-2025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45841</v>
      </c>
      <c r="E223" s="1" t="n">
        <v>46326</v>
      </c>
      <c r="F223" t="inlineStr">
        <is>
          <t>VÄSTRA GÖTALANDS LÄN</t>
        </is>
      </c>
      <c r="G223" t="inlineStr">
        <is>
          <t>MARK</t>
        </is>
      </c>
      <c r="I223" t="n">
        <v>5.5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49785-2023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45212</v>
      </c>
      <c r="E224" s="1" t="n">
        <v>46326</v>
      </c>
      <c r="F224" t="inlineStr">
        <is>
          <t>VÄSTRA GÖTALANDS LÄN</t>
        </is>
      </c>
      <c r="G224" t="inlineStr">
        <is>
          <t>MARK</t>
        </is>
      </c>
      <c r="I224" t="n">
        <v>2.9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64737-2023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45281</v>
      </c>
      <c r="E225" s="1" t="n">
        <v>46326</v>
      </c>
      <c r="F225" t="inlineStr">
        <is>
          <t>VÄSTRA GÖTALANDS LÄN</t>
        </is>
      </c>
      <c r="G225" t="inlineStr">
        <is>
          <t>MARK</t>
        </is>
      </c>
      <c r="I225" t="n">
        <v>2.5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44211-2023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45188</v>
      </c>
      <c r="E226" s="1" t="n">
        <v>46326</v>
      </c>
      <c r="F226" t="inlineStr">
        <is>
          <t>VÄSTRA GÖTALANDS LÄN</t>
        </is>
      </c>
      <c r="G226" t="inlineStr">
        <is>
          <t>MARK</t>
        </is>
      </c>
      <c r="I226" t="n">
        <v>1.2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44425-2025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45916</v>
      </c>
      <c r="E227" s="1" t="n">
        <v>46326</v>
      </c>
      <c r="F227" t="inlineStr">
        <is>
          <t>VÄSTRA GÖTALANDS LÄN</t>
        </is>
      </c>
      <c r="G227" t="inlineStr">
        <is>
          <t>MARK</t>
        </is>
      </c>
      <c r="I227" t="n">
        <v>0.8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34085-2025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45845</v>
      </c>
      <c r="E228" s="1" t="n">
        <v>46326</v>
      </c>
      <c r="F228" t="inlineStr">
        <is>
          <t>VÄSTRA GÖTALANDS LÄN</t>
        </is>
      </c>
      <c r="G228" t="inlineStr">
        <is>
          <t>MARK</t>
        </is>
      </c>
      <c r="I228" t="n">
        <v>3.2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22641-2025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45789</v>
      </c>
      <c r="E229" s="1" t="n">
        <v>46326</v>
      </c>
      <c r="F229" t="inlineStr">
        <is>
          <t>VÄSTRA GÖTALANDS LÄN</t>
        </is>
      </c>
      <c r="G229" t="inlineStr">
        <is>
          <t>MARK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57805-2024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45631</v>
      </c>
      <c r="E230" s="1" t="n">
        <v>46326</v>
      </c>
      <c r="F230" t="inlineStr">
        <is>
          <t>VÄSTRA GÖTALANDS LÄN</t>
        </is>
      </c>
      <c r="G230" t="inlineStr">
        <is>
          <t>MARK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54277-2022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44882</v>
      </c>
      <c r="E231" s="1" t="n">
        <v>46326</v>
      </c>
      <c r="F231" t="inlineStr">
        <is>
          <t>VÄSTRA GÖTALANDS LÄN</t>
        </is>
      </c>
      <c r="G231" t="inlineStr">
        <is>
          <t>MARK</t>
        </is>
      </c>
      <c r="I231" t="n">
        <v>7.8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34501-2025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45847</v>
      </c>
      <c r="E232" s="1" t="n">
        <v>46326</v>
      </c>
      <c r="F232" t="inlineStr">
        <is>
          <t>VÄSTRA GÖTALANDS LÄN</t>
        </is>
      </c>
      <c r="G232" t="inlineStr">
        <is>
          <t>MARK</t>
        </is>
      </c>
      <c r="I232" t="n">
        <v>3.2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4733-2026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46048</v>
      </c>
      <c r="E233" s="1" t="n">
        <v>46326</v>
      </c>
      <c r="F233" t="inlineStr">
        <is>
          <t>VÄSTRA GÖTALANDS LÄN</t>
        </is>
      </c>
      <c r="G233" t="inlineStr">
        <is>
          <t>MARK</t>
        </is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34277-2025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45845</v>
      </c>
      <c r="E234" s="1" t="n">
        <v>46326</v>
      </c>
      <c r="F234" t="inlineStr">
        <is>
          <t>VÄSTRA GÖTALANDS LÄN</t>
        </is>
      </c>
      <c r="G234" t="inlineStr">
        <is>
          <t>MARK</t>
        </is>
      </c>
      <c r="I234" t="n">
        <v>1.4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60127-2024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45642</v>
      </c>
      <c r="E235" s="1" t="n">
        <v>46326</v>
      </c>
      <c r="F235" t="inlineStr">
        <is>
          <t>VÄSTRA GÖTALANDS LÄN</t>
        </is>
      </c>
      <c r="G235" t="inlineStr">
        <is>
          <t>MARK</t>
        </is>
      </c>
      <c r="I235" t="n">
        <v>3.9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34902-2025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45849</v>
      </c>
      <c r="E236" s="1" t="n">
        <v>46326</v>
      </c>
      <c r="F236" t="inlineStr">
        <is>
          <t>VÄSTRA GÖTALANDS LÄN</t>
        </is>
      </c>
      <c r="G236" t="inlineStr">
        <is>
          <t>MARK</t>
        </is>
      </c>
      <c r="I236" t="n">
        <v>0.9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45888-2025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45923</v>
      </c>
      <c r="E237" s="1" t="n">
        <v>46326</v>
      </c>
      <c r="F237" t="inlineStr">
        <is>
          <t>VÄSTRA GÖTALANDS LÄN</t>
        </is>
      </c>
      <c r="G237" t="inlineStr">
        <is>
          <t>MARK</t>
        </is>
      </c>
      <c r="I237" t="n">
        <v>2.7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45897-2025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45923</v>
      </c>
      <c r="E238" s="1" t="n">
        <v>46326</v>
      </c>
      <c r="F238" t="inlineStr">
        <is>
          <t>VÄSTRA GÖTALANDS LÄN</t>
        </is>
      </c>
      <c r="G238" t="inlineStr">
        <is>
          <t>MARK</t>
        </is>
      </c>
      <c r="I238" t="n">
        <v>3.2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46459-2025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45925</v>
      </c>
      <c r="E239" s="1" t="n">
        <v>46326</v>
      </c>
      <c r="F239" t="inlineStr">
        <is>
          <t>VÄSTRA GÖTALANDS LÄN</t>
        </is>
      </c>
      <c r="G239" t="inlineStr">
        <is>
          <t>MARK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46284-2025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45925</v>
      </c>
      <c r="E240" s="1" t="n">
        <v>46326</v>
      </c>
      <c r="F240" t="inlineStr">
        <is>
          <t>VÄSTRA GÖTALANDS LÄN</t>
        </is>
      </c>
      <c r="G240" t="inlineStr">
        <is>
          <t>MARK</t>
        </is>
      </c>
      <c r="I240" t="n">
        <v>6.7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46290-2025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45925</v>
      </c>
      <c r="E241" s="1" t="n">
        <v>46326</v>
      </c>
      <c r="F241" t="inlineStr">
        <is>
          <t>VÄSTRA GÖTALANDS LÄN</t>
        </is>
      </c>
      <c r="G241" t="inlineStr">
        <is>
          <t>MARK</t>
        </is>
      </c>
      <c r="I241" t="n">
        <v>1.3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46294-2025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45925</v>
      </c>
      <c r="E242" s="1" t="n">
        <v>46326</v>
      </c>
      <c r="F242" t="inlineStr">
        <is>
          <t>VÄSTRA GÖTALANDS LÄN</t>
        </is>
      </c>
      <c r="G242" t="inlineStr">
        <is>
          <t>MARK</t>
        </is>
      </c>
      <c r="I242" t="n">
        <v>4.7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4622-2026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46048</v>
      </c>
      <c r="E243" s="1" t="n">
        <v>46326</v>
      </c>
      <c r="F243" t="inlineStr">
        <is>
          <t>VÄSTRA GÖTALANDS LÄN</t>
        </is>
      </c>
      <c r="G243" t="inlineStr">
        <is>
          <t>MARK</t>
        </is>
      </c>
      <c r="I243" t="n">
        <v>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46511-2025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45925</v>
      </c>
      <c r="E244" s="1" t="n">
        <v>46326</v>
      </c>
      <c r="F244" t="inlineStr">
        <is>
          <t>VÄSTRA GÖTALANDS LÄN</t>
        </is>
      </c>
      <c r="G244" t="inlineStr">
        <is>
          <t>MARK</t>
        </is>
      </c>
      <c r="I244" t="n">
        <v>0.4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46512-2025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45925</v>
      </c>
      <c r="E245" s="1" t="n">
        <v>46326</v>
      </c>
      <c r="F245" t="inlineStr">
        <is>
          <t>VÄSTRA GÖTALANDS LÄN</t>
        </is>
      </c>
      <c r="G245" t="inlineStr">
        <is>
          <t>MARK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45986-2025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45924</v>
      </c>
      <c r="E246" s="1" t="n">
        <v>46326</v>
      </c>
      <c r="F246" t="inlineStr">
        <is>
          <t>VÄSTRA GÖTALANDS LÄN</t>
        </is>
      </c>
      <c r="G246" t="inlineStr">
        <is>
          <t>MARK</t>
        </is>
      </c>
      <c r="I246" t="n">
        <v>0.1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26565-2025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45807</v>
      </c>
      <c r="E247" s="1" t="n">
        <v>46326</v>
      </c>
      <c r="F247" t="inlineStr">
        <is>
          <t>VÄSTRA GÖTALANDS LÄN</t>
        </is>
      </c>
      <c r="G247" t="inlineStr">
        <is>
          <t>MARK</t>
        </is>
      </c>
      <c r="I247" t="n">
        <v>1.7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13114-2025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45734</v>
      </c>
      <c r="E248" s="1" t="n">
        <v>46326</v>
      </c>
      <c r="F248" t="inlineStr">
        <is>
          <t>VÄSTRA GÖTALANDS LÄN</t>
        </is>
      </c>
      <c r="G248" t="inlineStr">
        <is>
          <t>MARK</t>
        </is>
      </c>
      <c r="I248" t="n">
        <v>2.7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35381-2025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45855</v>
      </c>
      <c r="E249" s="1" t="n">
        <v>46326</v>
      </c>
      <c r="F249" t="inlineStr">
        <is>
          <t>VÄSTRA GÖTALANDS LÄN</t>
        </is>
      </c>
      <c r="G249" t="inlineStr">
        <is>
          <t>MARK</t>
        </is>
      </c>
      <c r="I249" t="n">
        <v>3.6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35382-2025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45855</v>
      </c>
      <c r="E250" s="1" t="n">
        <v>46326</v>
      </c>
      <c r="F250" t="inlineStr">
        <is>
          <t>VÄSTRA GÖTALANDS LÄN</t>
        </is>
      </c>
      <c r="G250" t="inlineStr">
        <is>
          <t>MARK</t>
        </is>
      </c>
      <c r="I250" t="n">
        <v>1.3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35313-2025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45854</v>
      </c>
      <c r="E251" s="1" t="n">
        <v>46326</v>
      </c>
      <c r="F251" t="inlineStr">
        <is>
          <t>VÄSTRA GÖTALANDS LÄN</t>
        </is>
      </c>
      <c r="G251" t="inlineStr">
        <is>
          <t>MARK</t>
        </is>
      </c>
      <c r="I251" t="n">
        <v>3.4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35384-2025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45855</v>
      </c>
      <c r="E252" s="1" t="n">
        <v>46326</v>
      </c>
      <c r="F252" t="inlineStr">
        <is>
          <t>VÄSTRA GÖTALANDS LÄN</t>
        </is>
      </c>
      <c r="G252" t="inlineStr">
        <is>
          <t>MARK</t>
        </is>
      </c>
      <c r="I252" t="n">
        <v>9.800000000000001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4912-2026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46048</v>
      </c>
      <c r="E253" s="1" t="n">
        <v>46326</v>
      </c>
      <c r="F253" t="inlineStr">
        <is>
          <t>VÄSTRA GÖTALANDS LÄN</t>
        </is>
      </c>
      <c r="G253" t="inlineStr">
        <is>
          <t>MARK</t>
        </is>
      </c>
      <c r="I253" t="n">
        <v>5.9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69289-2021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44531</v>
      </c>
      <c r="E254" s="1" t="n">
        <v>46326</v>
      </c>
      <c r="F254" t="inlineStr">
        <is>
          <t>VÄSTRA GÖTALANDS LÄN</t>
        </is>
      </c>
      <c r="G254" t="inlineStr">
        <is>
          <t>MARK</t>
        </is>
      </c>
      <c r="I254" t="n">
        <v>4.8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35383-2025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45855</v>
      </c>
      <c r="E255" s="1" t="n">
        <v>46326</v>
      </c>
      <c r="F255" t="inlineStr">
        <is>
          <t>VÄSTRA GÖTALANDS LÄN</t>
        </is>
      </c>
      <c r="G255" t="inlineStr">
        <is>
          <t>MARK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4523-2026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46046</v>
      </c>
      <c r="E256" s="1" t="n">
        <v>46326</v>
      </c>
      <c r="F256" t="inlineStr">
        <is>
          <t>VÄSTRA GÖTALANDS LÄN</t>
        </is>
      </c>
      <c r="G256" t="inlineStr">
        <is>
          <t>MARK</t>
        </is>
      </c>
      <c r="I256" t="n">
        <v>1.3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32513-2025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45838</v>
      </c>
      <c r="E257" s="1" t="n">
        <v>46326</v>
      </c>
      <c r="F257" t="inlineStr">
        <is>
          <t>VÄSTRA GÖTALANDS LÄN</t>
        </is>
      </c>
      <c r="G257" t="inlineStr">
        <is>
          <t>MARK</t>
        </is>
      </c>
      <c r="I257" t="n">
        <v>5.9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35903-2025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45862</v>
      </c>
      <c r="E258" s="1" t="n">
        <v>46326</v>
      </c>
      <c r="F258" t="inlineStr">
        <is>
          <t>VÄSTRA GÖTALANDS LÄN</t>
        </is>
      </c>
      <c r="G258" t="inlineStr">
        <is>
          <t>MARK</t>
        </is>
      </c>
      <c r="I258" t="n">
        <v>1.5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36270-2025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45867</v>
      </c>
      <c r="E259" s="1" t="n">
        <v>46326</v>
      </c>
      <c r="F259" t="inlineStr">
        <is>
          <t>VÄSTRA GÖTALANDS LÄN</t>
        </is>
      </c>
      <c r="G259" t="inlineStr">
        <is>
          <t>MARK</t>
        </is>
      </c>
      <c r="I259" t="n">
        <v>0.5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36230-2025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45867</v>
      </c>
      <c r="E260" s="1" t="n">
        <v>46326</v>
      </c>
      <c r="F260" t="inlineStr">
        <is>
          <t>VÄSTRA GÖTALANDS LÄN</t>
        </is>
      </c>
      <c r="G260" t="inlineStr">
        <is>
          <t>MARK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47830-2025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45931</v>
      </c>
      <c r="E261" s="1" t="n">
        <v>46326</v>
      </c>
      <c r="F261" t="inlineStr">
        <is>
          <t>VÄSTRA GÖTALANDS LÄN</t>
        </is>
      </c>
      <c r="G261" t="inlineStr">
        <is>
          <t>MARK</t>
        </is>
      </c>
      <c r="I261" t="n">
        <v>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43474-2024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45568</v>
      </c>
      <c r="E262" s="1" t="n">
        <v>46326</v>
      </c>
      <c r="F262" t="inlineStr">
        <is>
          <t>VÄSTRA GÖTALANDS LÄN</t>
        </is>
      </c>
      <c r="G262" t="inlineStr">
        <is>
          <t>MARK</t>
        </is>
      </c>
      <c r="I262" t="n">
        <v>3.1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32888-2023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45124</v>
      </c>
      <c r="E263" s="1" t="n">
        <v>46326</v>
      </c>
      <c r="F263" t="inlineStr">
        <is>
          <t>VÄSTRA GÖTALANDS LÄN</t>
        </is>
      </c>
      <c r="G263" t="inlineStr">
        <is>
          <t>MARK</t>
        </is>
      </c>
      <c r="I263" t="n">
        <v>1.1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33266-2023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45127</v>
      </c>
      <c r="E264" s="1" t="n">
        <v>46326</v>
      </c>
      <c r="F264" t="inlineStr">
        <is>
          <t>VÄSTRA GÖTALANDS LÄN</t>
        </is>
      </c>
      <c r="G264" t="inlineStr">
        <is>
          <t>MARK</t>
        </is>
      </c>
      <c r="I264" t="n">
        <v>3.4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36659-2022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44804</v>
      </c>
      <c r="E265" s="1" t="n">
        <v>46326</v>
      </c>
      <c r="F265" t="inlineStr">
        <is>
          <t>VÄSTRA GÖTALANDS LÄN</t>
        </is>
      </c>
      <c r="G265" t="inlineStr">
        <is>
          <t>MARK</t>
        </is>
      </c>
      <c r="I265" t="n">
        <v>4.9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58398-2022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44901</v>
      </c>
      <c r="E266" s="1" t="n">
        <v>46326</v>
      </c>
      <c r="F266" t="inlineStr">
        <is>
          <t>VÄSTRA GÖTALANDS LÄN</t>
        </is>
      </c>
      <c r="G266" t="inlineStr">
        <is>
          <t>MARK</t>
        </is>
      </c>
      <c r="I266" t="n">
        <v>1.3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57128-2024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45629</v>
      </c>
      <c r="E267" s="1" t="n">
        <v>46326</v>
      </c>
      <c r="F267" t="inlineStr">
        <is>
          <t>VÄSTRA GÖTALANDS LÄN</t>
        </is>
      </c>
      <c r="G267" t="inlineStr">
        <is>
          <t>MARK</t>
        </is>
      </c>
      <c r="I267" t="n">
        <v>1.1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54-2023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44928</v>
      </c>
      <c r="E268" s="1" t="n">
        <v>46326</v>
      </c>
      <c r="F268" t="inlineStr">
        <is>
          <t>VÄSTRA GÖTALANDS LÄN</t>
        </is>
      </c>
      <c r="G268" t="inlineStr">
        <is>
          <t>MARK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62999-2023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45272</v>
      </c>
      <c r="E269" s="1" t="n">
        <v>46326</v>
      </c>
      <c r="F269" t="inlineStr">
        <is>
          <t>VÄSTRA GÖTALANDS LÄN</t>
        </is>
      </c>
      <c r="G269" t="inlineStr">
        <is>
          <t>MARK</t>
        </is>
      </c>
      <c r="I269" t="n">
        <v>1.7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23385-2023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45076</v>
      </c>
      <c r="E270" s="1" t="n">
        <v>46326</v>
      </c>
      <c r="F270" t="inlineStr">
        <is>
          <t>VÄSTRA GÖTALANDS LÄN</t>
        </is>
      </c>
      <c r="G270" t="inlineStr">
        <is>
          <t>MARK</t>
        </is>
      </c>
      <c r="I270" t="n">
        <v>11.8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51495-2022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44869</v>
      </c>
      <c r="E271" s="1" t="n">
        <v>46326</v>
      </c>
      <c r="F271" t="inlineStr">
        <is>
          <t>VÄSTRA GÖTALANDS LÄN</t>
        </is>
      </c>
      <c r="G271" t="inlineStr">
        <is>
          <t>MARK</t>
        </is>
      </c>
      <c r="I271" t="n">
        <v>0.8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64731-2023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45281</v>
      </c>
      <c r="E272" s="1" t="n">
        <v>46326</v>
      </c>
      <c r="F272" t="inlineStr">
        <is>
          <t>VÄSTRA GÖTALANDS LÄN</t>
        </is>
      </c>
      <c r="G272" t="inlineStr">
        <is>
          <t>MARK</t>
        </is>
      </c>
      <c r="I272" t="n">
        <v>10.1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58397-2022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44901</v>
      </c>
      <c r="E273" s="1" t="n">
        <v>46326</v>
      </c>
      <c r="F273" t="inlineStr">
        <is>
          <t>VÄSTRA GÖTALANDS LÄN</t>
        </is>
      </c>
      <c r="G273" t="inlineStr">
        <is>
          <t>MARK</t>
        </is>
      </c>
      <c r="I273" t="n">
        <v>5.5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12138-2023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44998</v>
      </c>
      <c r="E274" s="1" t="n">
        <v>46326</v>
      </c>
      <c r="F274" t="inlineStr">
        <is>
          <t>VÄSTRA GÖTALANDS LÄN</t>
        </is>
      </c>
      <c r="G274" t="inlineStr">
        <is>
          <t>MARK</t>
        </is>
      </c>
      <c r="I274" t="n">
        <v>0.6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29099-2025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45821</v>
      </c>
      <c r="E275" s="1" t="n">
        <v>46326</v>
      </c>
      <c r="F275" t="inlineStr">
        <is>
          <t>VÄSTRA GÖTALANDS LÄN</t>
        </is>
      </c>
      <c r="G275" t="inlineStr">
        <is>
          <t>MARK</t>
        </is>
      </c>
      <c r="I275" t="n">
        <v>1.7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16538-2023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45029</v>
      </c>
      <c r="E276" s="1" t="n">
        <v>46326</v>
      </c>
      <c r="F276" t="inlineStr">
        <is>
          <t>VÄSTRA GÖTALANDS LÄN</t>
        </is>
      </c>
      <c r="G276" t="inlineStr">
        <is>
          <t>MARK</t>
        </is>
      </c>
      <c r="I276" t="n">
        <v>1.1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16539-2023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45029</v>
      </c>
      <c r="E277" s="1" t="n">
        <v>46326</v>
      </c>
      <c r="F277" t="inlineStr">
        <is>
          <t>VÄSTRA GÖTALANDS LÄN</t>
        </is>
      </c>
      <c r="G277" t="inlineStr">
        <is>
          <t>MARK</t>
        </is>
      </c>
      <c r="I277" t="n">
        <v>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4306-2024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45324</v>
      </c>
      <c r="E278" s="1" t="n">
        <v>46326</v>
      </c>
      <c r="F278" t="inlineStr">
        <is>
          <t>VÄSTRA GÖTALANDS LÄN</t>
        </is>
      </c>
      <c r="G278" t="inlineStr">
        <is>
          <t>MARK</t>
        </is>
      </c>
      <c r="I278" t="n">
        <v>1.1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2730-2023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44944</v>
      </c>
      <c r="E279" s="1" t="n">
        <v>46326</v>
      </c>
      <c r="F279" t="inlineStr">
        <is>
          <t>VÄSTRA GÖTALANDS LÄN</t>
        </is>
      </c>
      <c r="G279" t="inlineStr">
        <is>
          <t>MARK</t>
        </is>
      </c>
      <c r="I279" t="n">
        <v>3.9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9197-2024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45358</v>
      </c>
      <c r="E280" s="1" t="n">
        <v>46326</v>
      </c>
      <c r="F280" t="inlineStr">
        <is>
          <t>VÄSTRA GÖTALANDS LÄN</t>
        </is>
      </c>
      <c r="G280" t="inlineStr">
        <is>
          <t>MARK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59083-2022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44904</v>
      </c>
      <c r="E281" s="1" t="n">
        <v>46326</v>
      </c>
      <c r="F281" t="inlineStr">
        <is>
          <t>VÄSTRA GÖTALANDS LÄN</t>
        </is>
      </c>
      <c r="G281" t="inlineStr">
        <is>
          <t>MARK</t>
        </is>
      </c>
      <c r="I281" t="n">
        <v>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36652-2025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45872</v>
      </c>
      <c r="E282" s="1" t="n">
        <v>46326</v>
      </c>
      <c r="F282" t="inlineStr">
        <is>
          <t>VÄSTRA GÖTALANDS LÄN</t>
        </is>
      </c>
      <c r="G282" t="inlineStr">
        <is>
          <t>MARK</t>
        </is>
      </c>
      <c r="I282" t="n">
        <v>1.7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51497-2022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44869</v>
      </c>
      <c r="E283" s="1" t="n">
        <v>46326</v>
      </c>
      <c r="F283" t="inlineStr">
        <is>
          <t>VÄSTRA GÖTALANDS LÄN</t>
        </is>
      </c>
      <c r="G283" t="inlineStr">
        <is>
          <t>MARK</t>
        </is>
      </c>
      <c r="I283" t="n">
        <v>1.5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3114-2024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45316</v>
      </c>
      <c r="E284" s="1" t="n">
        <v>46326</v>
      </c>
      <c r="F284" t="inlineStr">
        <is>
          <t>VÄSTRA GÖTALANDS LÄN</t>
        </is>
      </c>
      <c r="G284" t="inlineStr">
        <is>
          <t>MARK</t>
        </is>
      </c>
      <c r="I284" t="n">
        <v>1.4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48915-2023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45209</v>
      </c>
      <c r="E285" s="1" t="n">
        <v>46326</v>
      </c>
      <c r="F285" t="inlineStr">
        <is>
          <t>VÄSTRA GÖTALANDS LÄN</t>
        </is>
      </c>
      <c r="G285" t="inlineStr">
        <is>
          <t>MARK</t>
        </is>
      </c>
      <c r="I285" t="n">
        <v>0.9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15667-2023</t>
        </is>
      </c>
      <c r="B286" t="inlineStr">
        <is>
          <t>avverkningsanmälan</t>
        </is>
      </c>
      <c r="C286" t="inlineStr">
        <is>
          <t>Avverkning för annat ändamål</t>
        </is>
      </c>
      <c r="D286" s="1" t="n">
        <v>45021</v>
      </c>
      <c r="E286" s="1" t="n">
        <v>46326</v>
      </c>
      <c r="F286" t="inlineStr">
        <is>
          <t>VÄSTRA GÖTALANDS LÄN</t>
        </is>
      </c>
      <c r="G286" t="inlineStr">
        <is>
          <t>MARK</t>
        </is>
      </c>
      <c r="I286" t="n">
        <v>0.9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31302-2023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45104</v>
      </c>
      <c r="E287" s="1" t="n">
        <v>46326</v>
      </c>
      <c r="F287" t="inlineStr">
        <is>
          <t>VÄSTRA GÖTALANDS LÄN</t>
        </is>
      </c>
      <c r="G287" t="inlineStr">
        <is>
          <t>MARK</t>
        </is>
      </c>
      <c r="I287" t="n">
        <v>8.5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37060-2025</t>
        </is>
      </c>
      <c r="B288" t="inlineStr">
        <is>
          <t>avverkningsanmälan</t>
        </is>
      </c>
      <c r="C288" t="inlineStr">
        <is>
          <t>Avverkning för att bevara och utveckla /försöksver</t>
        </is>
      </c>
      <c r="D288" s="1" t="n">
        <v>45875</v>
      </c>
      <c r="E288" s="1" t="n">
        <v>46326</v>
      </c>
      <c r="F288" t="inlineStr">
        <is>
          <t>VÄSTRA GÖTALANDS LÄN</t>
        </is>
      </c>
      <c r="G288" t="inlineStr">
        <is>
          <t>MARK</t>
        </is>
      </c>
      <c r="I288" t="n">
        <v>1.6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59161-2024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45637</v>
      </c>
      <c r="E289" s="1" t="n">
        <v>46326</v>
      </c>
      <c r="F289" t="inlineStr">
        <is>
          <t>VÄSTRA GÖTALANDS LÄN</t>
        </is>
      </c>
      <c r="G289" t="inlineStr">
        <is>
          <t>MARK</t>
        </is>
      </c>
      <c r="I289" t="n">
        <v>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48952-2025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45937</v>
      </c>
      <c r="E290" s="1" t="n">
        <v>46326</v>
      </c>
      <c r="F290" t="inlineStr">
        <is>
          <t>VÄSTRA GÖTALANDS LÄN</t>
        </is>
      </c>
      <c r="G290" t="inlineStr">
        <is>
          <t>MARK</t>
        </is>
      </c>
      <c r="I290" t="n">
        <v>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37132-2025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45875</v>
      </c>
      <c r="E291" s="1" t="n">
        <v>46326</v>
      </c>
      <c r="F291" t="inlineStr">
        <is>
          <t>VÄSTRA GÖTALANDS LÄN</t>
        </is>
      </c>
      <c r="G291" t="inlineStr">
        <is>
          <t>MARK</t>
        </is>
      </c>
      <c r="I291" t="n">
        <v>1.3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37153-2025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45875</v>
      </c>
      <c r="E292" s="1" t="n">
        <v>46326</v>
      </c>
      <c r="F292" t="inlineStr">
        <is>
          <t>VÄSTRA GÖTALANDS LÄN</t>
        </is>
      </c>
      <c r="G292" t="inlineStr">
        <is>
          <t>MARK</t>
        </is>
      </c>
      <c r="I292" t="n">
        <v>1.2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37164-2025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45875</v>
      </c>
      <c r="E293" s="1" t="n">
        <v>46326</v>
      </c>
      <c r="F293" t="inlineStr">
        <is>
          <t>VÄSTRA GÖTALANDS LÄN</t>
        </is>
      </c>
      <c r="G293" t="inlineStr">
        <is>
          <t>MARK</t>
        </is>
      </c>
      <c r="I293" t="n">
        <v>2.5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48938-2025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45937</v>
      </c>
      <c r="E294" s="1" t="n">
        <v>46326</v>
      </c>
      <c r="F294" t="inlineStr">
        <is>
          <t>VÄSTRA GÖTALANDS LÄN</t>
        </is>
      </c>
      <c r="G294" t="inlineStr">
        <is>
          <t>MARK</t>
        </is>
      </c>
      <c r="I294" t="n">
        <v>3.6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9017-2022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44615</v>
      </c>
      <c r="E295" s="1" t="n">
        <v>46326</v>
      </c>
      <c r="F295" t="inlineStr">
        <is>
          <t>VÄSTRA GÖTALANDS LÄN</t>
        </is>
      </c>
      <c r="G295" t="inlineStr">
        <is>
          <t>MARK</t>
        </is>
      </c>
      <c r="I295" t="n">
        <v>3.8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47418-2023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45202</v>
      </c>
      <c r="E296" s="1" t="n">
        <v>46326</v>
      </c>
      <c r="F296" t="inlineStr">
        <is>
          <t>VÄSTRA GÖTALANDS LÄN</t>
        </is>
      </c>
      <c r="G296" t="inlineStr">
        <is>
          <t>MARK</t>
        </is>
      </c>
      <c r="I296" t="n">
        <v>0.7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6271-2026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46055</v>
      </c>
      <c r="E297" s="1" t="n">
        <v>46326</v>
      </c>
      <c r="F297" t="inlineStr">
        <is>
          <t>VÄSTRA GÖTALANDS LÄN</t>
        </is>
      </c>
      <c r="G297" t="inlineStr">
        <is>
          <t>MARK</t>
        </is>
      </c>
      <c r="I297" t="n">
        <v>6.4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45351-2025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45922</v>
      </c>
      <c r="E298" s="1" t="n">
        <v>46326</v>
      </c>
      <c r="F298" t="inlineStr">
        <is>
          <t>VÄSTRA GÖTALANDS LÄN</t>
        </is>
      </c>
      <c r="G298" t="inlineStr">
        <is>
          <t>MARK</t>
        </is>
      </c>
      <c r="I298" t="n">
        <v>1.5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9557-2023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44982</v>
      </c>
      <c r="E299" s="1" t="n">
        <v>46326</v>
      </c>
      <c r="F299" t="inlineStr">
        <is>
          <t>VÄSTRA GÖTALANDS LÄN</t>
        </is>
      </c>
      <c r="G299" t="inlineStr">
        <is>
          <t>MARK</t>
        </is>
      </c>
      <c r="I299" t="n">
        <v>7.5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45353-2025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45922</v>
      </c>
      <c r="E300" s="1" t="n">
        <v>46326</v>
      </c>
      <c r="F300" t="inlineStr">
        <is>
          <t>VÄSTRA GÖTALANDS LÄN</t>
        </is>
      </c>
      <c r="G300" t="inlineStr">
        <is>
          <t>MARK</t>
        </is>
      </c>
      <c r="I300" t="n">
        <v>1.5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50222-2025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45943</v>
      </c>
      <c r="E301" s="1" t="n">
        <v>46326</v>
      </c>
      <c r="F301" t="inlineStr">
        <is>
          <t>VÄSTRA GÖTALANDS LÄN</t>
        </is>
      </c>
      <c r="G301" t="inlineStr">
        <is>
          <t>MARK</t>
        </is>
      </c>
      <c r="I301" t="n">
        <v>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5893-2026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46052</v>
      </c>
      <c r="E302" s="1" t="n">
        <v>46326</v>
      </c>
      <c r="F302" t="inlineStr">
        <is>
          <t>VÄSTRA GÖTALANDS LÄN</t>
        </is>
      </c>
      <c r="G302" t="inlineStr">
        <is>
          <t>MARK</t>
        </is>
      </c>
      <c r="H302" t="inlineStr">
        <is>
          <t>Sveaskog</t>
        </is>
      </c>
      <c r="I302" t="n">
        <v>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6270-2026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46055</v>
      </c>
      <c r="E303" s="1" t="n">
        <v>46326</v>
      </c>
      <c r="F303" t="inlineStr">
        <is>
          <t>VÄSTRA GÖTALANDS LÄN</t>
        </is>
      </c>
      <c r="G303" t="inlineStr">
        <is>
          <t>MARK</t>
        </is>
      </c>
      <c r="I303" t="n">
        <v>2.7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6745-2026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46056</v>
      </c>
      <c r="E304" s="1" t="n">
        <v>46326</v>
      </c>
      <c r="F304" t="inlineStr">
        <is>
          <t>VÄSTRA GÖTALANDS LÄN</t>
        </is>
      </c>
      <c r="G304" t="inlineStr">
        <is>
          <t>MARK</t>
        </is>
      </c>
      <c r="H304" t="inlineStr">
        <is>
          <t>Sveaskog</t>
        </is>
      </c>
      <c r="I304" t="n">
        <v>1.7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6780-2026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46057</v>
      </c>
      <c r="E305" s="1" t="n">
        <v>46326</v>
      </c>
      <c r="F305" t="inlineStr">
        <is>
          <t>VÄSTRA GÖTALANDS LÄN</t>
        </is>
      </c>
      <c r="G305" t="inlineStr">
        <is>
          <t>MARK</t>
        </is>
      </c>
      <c r="I305" t="n">
        <v>13.1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10138-2025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45719</v>
      </c>
      <c r="E306" s="1" t="n">
        <v>46326</v>
      </c>
      <c r="F306" t="inlineStr">
        <is>
          <t>VÄSTRA GÖTALANDS LÄN</t>
        </is>
      </c>
      <c r="G306" t="inlineStr">
        <is>
          <t>MARK</t>
        </is>
      </c>
      <c r="H306" t="inlineStr">
        <is>
          <t>Sveaskog</t>
        </is>
      </c>
      <c r="I306" t="n">
        <v>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6676-2026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46056</v>
      </c>
      <c r="E307" s="1" t="n">
        <v>46326</v>
      </c>
      <c r="F307" t="inlineStr">
        <is>
          <t>VÄSTRA GÖTALANDS LÄN</t>
        </is>
      </c>
      <c r="G307" t="inlineStr">
        <is>
          <t>MARK</t>
        </is>
      </c>
      <c r="I307" t="n">
        <v>1.6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14746-2024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45397</v>
      </c>
      <c r="E308" s="1" t="n">
        <v>46326</v>
      </c>
      <c r="F308" t="inlineStr">
        <is>
          <t>VÄSTRA GÖTALANDS LÄN</t>
        </is>
      </c>
      <c r="G308" t="inlineStr">
        <is>
          <t>MARK</t>
        </is>
      </c>
      <c r="I308" t="n">
        <v>5.7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37744-2025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45880</v>
      </c>
      <c r="E309" s="1" t="n">
        <v>46326</v>
      </c>
      <c r="F309" t="inlineStr">
        <is>
          <t>VÄSTRA GÖTALANDS LÄN</t>
        </is>
      </c>
      <c r="G309" t="inlineStr">
        <is>
          <t>MARK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50240-2025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45943</v>
      </c>
      <c r="E310" s="1" t="n">
        <v>46326</v>
      </c>
      <c r="F310" t="inlineStr">
        <is>
          <t>VÄSTRA GÖTALANDS LÄN</t>
        </is>
      </c>
      <c r="G310" t="inlineStr">
        <is>
          <t>MARK</t>
        </is>
      </c>
      <c r="I310" t="n">
        <v>2.1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38002-2023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45160</v>
      </c>
      <c r="E311" s="1" t="n">
        <v>46326</v>
      </c>
      <c r="F311" t="inlineStr">
        <is>
          <t>VÄSTRA GÖTALANDS LÄN</t>
        </is>
      </c>
      <c r="G311" t="inlineStr">
        <is>
          <t>MARK</t>
        </is>
      </c>
      <c r="I311" t="n">
        <v>1.3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30231-2024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45490</v>
      </c>
      <c r="E312" s="1" t="n">
        <v>46326</v>
      </c>
      <c r="F312" t="inlineStr">
        <is>
          <t>VÄSTRA GÖTALANDS LÄN</t>
        </is>
      </c>
      <c r="G312" t="inlineStr">
        <is>
          <t>MARK</t>
        </is>
      </c>
      <c r="I312" t="n">
        <v>6.1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30232-2024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45490</v>
      </c>
      <c r="E313" s="1" t="n">
        <v>46326</v>
      </c>
      <c r="F313" t="inlineStr">
        <is>
          <t>VÄSTRA GÖTALANDS LÄN</t>
        </is>
      </c>
      <c r="G313" t="inlineStr">
        <is>
          <t>MARK</t>
        </is>
      </c>
      <c r="I313" t="n">
        <v>1.4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30250-2024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45490</v>
      </c>
      <c r="E314" s="1" t="n">
        <v>46326</v>
      </c>
      <c r="F314" t="inlineStr">
        <is>
          <t>VÄSTRA GÖTALANDS LÄN</t>
        </is>
      </c>
      <c r="G314" t="inlineStr">
        <is>
          <t>MARK</t>
        </is>
      </c>
      <c r="I314" t="n">
        <v>2.2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7081-2026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46058</v>
      </c>
      <c r="E315" s="1" t="n">
        <v>46326</v>
      </c>
      <c r="F315" t="inlineStr">
        <is>
          <t>VÄSTRA GÖTALANDS LÄN</t>
        </is>
      </c>
      <c r="G315" t="inlineStr">
        <is>
          <t>MARK</t>
        </is>
      </c>
      <c r="I315" t="n">
        <v>1.1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32631-2023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45121</v>
      </c>
      <c r="E316" s="1" t="n">
        <v>46326</v>
      </c>
      <c r="F316" t="inlineStr">
        <is>
          <t>VÄSTRA GÖTALANDS LÄN</t>
        </is>
      </c>
      <c r="G316" t="inlineStr">
        <is>
          <t>MARK</t>
        </is>
      </c>
      <c r="I316" t="n">
        <v>2.2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7869-2026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46062</v>
      </c>
      <c r="E317" s="1" t="n">
        <v>46326</v>
      </c>
      <c r="F317" t="inlineStr">
        <is>
          <t>VÄSTRA GÖTALANDS LÄN</t>
        </is>
      </c>
      <c r="G317" t="inlineStr">
        <is>
          <t>MARK</t>
        </is>
      </c>
      <c r="H317" t="inlineStr">
        <is>
          <t>Sveaskog</t>
        </is>
      </c>
      <c r="I317" t="n">
        <v>8.4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26075-2023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45091</v>
      </c>
      <c r="E318" s="1" t="n">
        <v>46326</v>
      </c>
      <c r="F318" t="inlineStr">
        <is>
          <t>VÄSTRA GÖTALANDS LÄN</t>
        </is>
      </c>
      <c r="G318" t="inlineStr">
        <is>
          <t>MARK</t>
        </is>
      </c>
      <c r="I318" t="n">
        <v>1.6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52200-2025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45953</v>
      </c>
      <c r="E319" s="1" t="n">
        <v>46326</v>
      </c>
      <c r="F319" t="inlineStr">
        <is>
          <t>VÄSTRA GÖTALANDS LÄN</t>
        </is>
      </c>
      <c r="G319" t="inlineStr">
        <is>
          <t>MARK</t>
        </is>
      </c>
      <c r="I319" t="n">
        <v>1.5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35390-2025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45855</v>
      </c>
      <c r="E320" s="1" t="n">
        <v>46326</v>
      </c>
      <c r="F320" t="inlineStr">
        <is>
          <t>VÄSTRA GÖTALANDS LÄN</t>
        </is>
      </c>
      <c r="G320" t="inlineStr">
        <is>
          <t>MARK</t>
        </is>
      </c>
      <c r="I320" t="n">
        <v>13.2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52198-2025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45953</v>
      </c>
      <c r="E321" s="1" t="n">
        <v>46326</v>
      </c>
      <c r="F321" t="inlineStr">
        <is>
          <t>VÄSTRA GÖTALANDS LÄN</t>
        </is>
      </c>
      <c r="G321" t="inlineStr">
        <is>
          <t>MARK</t>
        </is>
      </c>
      <c r="I321" t="n">
        <v>1.1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8137-2026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46064</v>
      </c>
      <c r="E322" s="1" t="n">
        <v>46326</v>
      </c>
      <c r="F322" t="inlineStr">
        <is>
          <t>VÄSTRA GÖTALANDS LÄN</t>
        </is>
      </c>
      <c r="G322" t="inlineStr">
        <is>
          <t>MARK</t>
        </is>
      </c>
      <c r="I322" t="n">
        <v>2.3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11655-2023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44994</v>
      </c>
      <c r="E323" s="1" t="n">
        <v>46326</v>
      </c>
      <c r="F323" t="inlineStr">
        <is>
          <t>VÄSTRA GÖTALANDS LÄN</t>
        </is>
      </c>
      <c r="G323" t="inlineStr">
        <is>
          <t>MARK</t>
        </is>
      </c>
      <c r="I323" t="n">
        <v>0.4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22918-2022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44715</v>
      </c>
      <c r="E324" s="1" t="n">
        <v>46326</v>
      </c>
      <c r="F324" t="inlineStr">
        <is>
          <t>VÄSTRA GÖTALANDS LÄN</t>
        </is>
      </c>
      <c r="G324" t="inlineStr">
        <is>
          <t>MARK</t>
        </is>
      </c>
      <c r="I324" t="n">
        <v>1.6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6980-2024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45343</v>
      </c>
      <c r="E325" s="1" t="n">
        <v>46326</v>
      </c>
      <c r="F325" t="inlineStr">
        <is>
          <t>VÄSTRA GÖTALANDS LÄN</t>
        </is>
      </c>
      <c r="G325" t="inlineStr">
        <is>
          <t>MARK</t>
        </is>
      </c>
      <c r="I325" t="n">
        <v>1.1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38587-2025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45884</v>
      </c>
      <c r="E326" s="1" t="n">
        <v>46326</v>
      </c>
      <c r="F326" t="inlineStr">
        <is>
          <t>VÄSTRA GÖTALANDS LÄN</t>
        </is>
      </c>
      <c r="G326" t="inlineStr">
        <is>
          <t>MARK</t>
        </is>
      </c>
      <c r="I326" t="n">
        <v>0.5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53318-2025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45959</v>
      </c>
      <c r="E327" s="1" t="n">
        <v>46326</v>
      </c>
      <c r="F327" t="inlineStr">
        <is>
          <t>VÄSTRA GÖTALANDS LÄN</t>
        </is>
      </c>
      <c r="G327" t="inlineStr">
        <is>
          <t>MARK</t>
        </is>
      </c>
      <c r="I327" t="n">
        <v>0.6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53330-2025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45959</v>
      </c>
      <c r="E328" s="1" t="n">
        <v>46326</v>
      </c>
      <c r="F328" t="inlineStr">
        <is>
          <t>VÄSTRA GÖTALANDS LÄN</t>
        </is>
      </c>
      <c r="G328" t="inlineStr">
        <is>
          <t>MARK</t>
        </is>
      </c>
      <c r="I328" t="n">
        <v>3.5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33898-2023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45134</v>
      </c>
      <c r="E329" s="1" t="n">
        <v>46326</v>
      </c>
      <c r="F329" t="inlineStr">
        <is>
          <t>VÄSTRA GÖTALANDS LÄN</t>
        </is>
      </c>
      <c r="G329" t="inlineStr">
        <is>
          <t>MARK</t>
        </is>
      </c>
      <c r="I329" t="n">
        <v>1.2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8808-2024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45356</v>
      </c>
      <c r="E330" s="1" t="n">
        <v>46326</v>
      </c>
      <c r="F330" t="inlineStr">
        <is>
          <t>VÄSTRA GÖTALANDS LÄN</t>
        </is>
      </c>
      <c r="G330" t="inlineStr">
        <is>
          <t>MARK</t>
        </is>
      </c>
      <c r="I330" t="n">
        <v>2.6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8814-2024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45356</v>
      </c>
      <c r="E331" s="1" t="n">
        <v>46326</v>
      </c>
      <c r="F331" t="inlineStr">
        <is>
          <t>VÄSTRA GÖTALANDS LÄN</t>
        </is>
      </c>
      <c r="G331" t="inlineStr">
        <is>
          <t>MARK</t>
        </is>
      </c>
      <c r="I331" t="n">
        <v>1.1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24590-2025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45798</v>
      </c>
      <c r="E332" s="1" t="n">
        <v>46326</v>
      </c>
      <c r="F332" t="inlineStr">
        <is>
          <t>VÄSTRA GÖTALANDS LÄN</t>
        </is>
      </c>
      <c r="G332" t="inlineStr">
        <is>
          <t>MARK</t>
        </is>
      </c>
      <c r="I332" t="n">
        <v>2.1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54576-2025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45965</v>
      </c>
      <c r="E333" s="1" t="n">
        <v>46326</v>
      </c>
      <c r="F333" t="inlineStr">
        <is>
          <t>VÄSTRA GÖTALANDS LÄN</t>
        </is>
      </c>
      <c r="G333" t="inlineStr">
        <is>
          <t>MARK</t>
        </is>
      </c>
      <c r="I333" t="n">
        <v>3.7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54119-2025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45964</v>
      </c>
      <c r="E334" s="1" t="n">
        <v>46326</v>
      </c>
      <c r="F334" t="inlineStr">
        <is>
          <t>VÄSTRA GÖTALANDS LÄN</t>
        </is>
      </c>
      <c r="G334" t="inlineStr">
        <is>
          <t>MARK</t>
        </is>
      </c>
      <c r="I334" t="n">
        <v>1.4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3930-2024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45322</v>
      </c>
      <c r="E335" s="1" t="n">
        <v>46326</v>
      </c>
      <c r="F335" t="inlineStr">
        <is>
          <t>VÄSTRA GÖTALANDS LÄN</t>
        </is>
      </c>
      <c r="G335" t="inlineStr">
        <is>
          <t>MARK</t>
        </is>
      </c>
      <c r="I335" t="n">
        <v>4.4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23078-2024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45450</v>
      </c>
      <c r="E336" s="1" t="n">
        <v>46326</v>
      </c>
      <c r="F336" t="inlineStr">
        <is>
          <t>VÄSTRA GÖTALANDS LÄN</t>
        </is>
      </c>
      <c r="G336" t="inlineStr">
        <is>
          <t>MARK</t>
        </is>
      </c>
      <c r="I336" t="n">
        <v>0.6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10902-2024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45370</v>
      </c>
      <c r="E337" s="1" t="n">
        <v>46326</v>
      </c>
      <c r="F337" t="inlineStr">
        <is>
          <t>VÄSTRA GÖTALANDS LÄN</t>
        </is>
      </c>
      <c r="G337" t="inlineStr">
        <is>
          <t>MARK</t>
        </is>
      </c>
      <c r="I337" t="n">
        <v>1.4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10583-2022</t>
        </is>
      </c>
      <c r="B338" t="inlineStr">
        <is>
          <t>avverkningsanmälan</t>
        </is>
      </c>
      <c r="C338" t="inlineStr">
        <is>
          <t>Avverkning för annat ändamål</t>
        </is>
      </c>
      <c r="D338" s="1" t="n">
        <v>44624</v>
      </c>
      <c r="E338" s="1" t="n">
        <v>46326</v>
      </c>
      <c r="F338" t="inlineStr">
        <is>
          <t>VÄSTRA GÖTALANDS LÄN</t>
        </is>
      </c>
      <c r="G338" t="inlineStr">
        <is>
          <t>MARK</t>
        </is>
      </c>
      <c r="I338" t="n">
        <v>0.6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37370-2024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45540</v>
      </c>
      <c r="E339" s="1" t="n">
        <v>46326</v>
      </c>
      <c r="F339" t="inlineStr">
        <is>
          <t>VÄSTRA GÖTALANDS LÄN</t>
        </is>
      </c>
      <c r="G339" t="inlineStr">
        <is>
          <t>MARK</t>
        </is>
      </c>
      <c r="I339" t="n">
        <v>0.8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28257-2024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45477</v>
      </c>
      <c r="E340" s="1" t="n">
        <v>46326</v>
      </c>
      <c r="F340" t="inlineStr">
        <is>
          <t>VÄSTRA GÖTALANDS LÄN</t>
        </is>
      </c>
      <c r="G340" t="inlineStr">
        <is>
          <t>MARK</t>
        </is>
      </c>
      <c r="I340" t="n">
        <v>0.7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49408-2024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45595</v>
      </c>
      <c r="E341" s="1" t="n">
        <v>46326</v>
      </c>
      <c r="F341" t="inlineStr">
        <is>
          <t>VÄSTRA GÖTALANDS LÄN</t>
        </is>
      </c>
      <c r="G341" t="inlineStr">
        <is>
          <t>MARK</t>
        </is>
      </c>
      <c r="I341" t="n">
        <v>2.5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4011-2025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45684</v>
      </c>
      <c r="E342" s="1" t="n">
        <v>46326</v>
      </c>
      <c r="F342" t="inlineStr">
        <is>
          <t>VÄSTRA GÖTALANDS LÄN</t>
        </is>
      </c>
      <c r="G342" t="inlineStr">
        <is>
          <t>MARK</t>
        </is>
      </c>
      <c r="I342" t="n">
        <v>0.4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6428-2025</t>
        </is>
      </c>
      <c r="B343" t="inlineStr">
        <is>
          <t>avverkningsanmälan</t>
        </is>
      </c>
      <c r="C343" t="inlineStr">
        <is>
          <t>Avverkning för att bevara och utveckla /försöksver</t>
        </is>
      </c>
      <c r="D343" s="1" t="n">
        <v>45699</v>
      </c>
      <c r="E343" s="1" t="n">
        <v>46326</v>
      </c>
      <c r="F343" t="inlineStr">
        <is>
          <t>VÄSTRA GÖTALANDS LÄN</t>
        </is>
      </c>
      <c r="G343" t="inlineStr">
        <is>
          <t>MARK</t>
        </is>
      </c>
      <c r="I343" t="n">
        <v>3.7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8855-2023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44978</v>
      </c>
      <c r="E344" s="1" t="n">
        <v>46326</v>
      </c>
      <c r="F344" t="inlineStr">
        <is>
          <t>VÄSTRA GÖTALANDS LÄN</t>
        </is>
      </c>
      <c r="G344" t="inlineStr">
        <is>
          <t>MARK</t>
        </is>
      </c>
      <c r="I344" t="n">
        <v>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56858-2025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45978</v>
      </c>
      <c r="E345" s="1" t="n">
        <v>46326</v>
      </c>
      <c r="F345" t="inlineStr">
        <is>
          <t>VÄSTRA GÖTALANDS LÄN</t>
        </is>
      </c>
      <c r="G345" t="inlineStr">
        <is>
          <t>MARK</t>
        </is>
      </c>
      <c r="I345" t="n">
        <v>4.6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5786-2024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45335</v>
      </c>
      <c r="E346" s="1" t="n">
        <v>46326</v>
      </c>
      <c r="F346" t="inlineStr">
        <is>
          <t>VÄSTRA GÖTALANDS LÄN</t>
        </is>
      </c>
      <c r="G346" t="inlineStr">
        <is>
          <t>MARK</t>
        </is>
      </c>
      <c r="I346" t="n">
        <v>0.7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11675-2026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46084</v>
      </c>
      <c r="E347" s="1" t="n">
        <v>46326</v>
      </c>
      <c r="F347" t="inlineStr">
        <is>
          <t>VÄSTRA GÖTALANDS LÄN</t>
        </is>
      </c>
      <c r="G347" t="inlineStr">
        <is>
          <t>MARK</t>
        </is>
      </c>
      <c r="I347" t="n">
        <v>0.6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56796-2025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45978</v>
      </c>
      <c r="E348" s="1" t="n">
        <v>46326</v>
      </c>
      <c r="F348" t="inlineStr">
        <is>
          <t>VÄSTRA GÖTALANDS LÄN</t>
        </is>
      </c>
      <c r="G348" t="inlineStr">
        <is>
          <t>MARK</t>
        </is>
      </c>
      <c r="I348" t="n">
        <v>0.5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7498-2023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44971</v>
      </c>
      <c r="E349" s="1" t="n">
        <v>46326</v>
      </c>
      <c r="F349" t="inlineStr">
        <is>
          <t>VÄSTRA GÖTALANDS LÄN</t>
        </is>
      </c>
      <c r="G349" t="inlineStr">
        <is>
          <t>MARK</t>
        </is>
      </c>
      <c r="I349" t="n">
        <v>1.1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11549-2026</t>
        </is>
      </c>
      <c r="B350" t="inlineStr">
        <is>
          <t>avverkningsanmälan</t>
        </is>
      </c>
      <c r="C350" t="inlineStr">
        <is>
          <t>Avverkning för annat ändamål</t>
        </is>
      </c>
      <c r="D350" s="1" t="n">
        <v>46084</v>
      </c>
      <c r="E350" s="1" t="n">
        <v>46326</v>
      </c>
      <c r="F350" t="inlineStr">
        <is>
          <t>VÄSTRA GÖTALANDS LÄN</t>
        </is>
      </c>
      <c r="G350" t="inlineStr">
        <is>
          <t>MARK</t>
        </is>
      </c>
      <c r="I350" t="n">
        <v>0.5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11553-2026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46084</v>
      </c>
      <c r="E351" s="1" t="n">
        <v>46326</v>
      </c>
      <c r="F351" t="inlineStr">
        <is>
          <t>VÄSTRA GÖTALANDS LÄN</t>
        </is>
      </c>
      <c r="G351" t="inlineStr">
        <is>
          <t>MARK</t>
        </is>
      </c>
      <c r="I351" t="n">
        <v>4.7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19709-2022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44694</v>
      </c>
      <c r="E352" s="1" t="n">
        <v>46326</v>
      </c>
      <c r="F352" t="inlineStr">
        <is>
          <t>VÄSTRA GÖTALANDS LÄN</t>
        </is>
      </c>
      <c r="G352" t="inlineStr">
        <is>
          <t>MARK</t>
        </is>
      </c>
      <c r="I352" t="n">
        <v>1.9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4255-2026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46045</v>
      </c>
      <c r="E353" s="1" t="n">
        <v>46326</v>
      </c>
      <c r="F353" t="inlineStr">
        <is>
          <t>VÄSTRA GÖTALANDS LÄN</t>
        </is>
      </c>
      <c r="G353" t="inlineStr">
        <is>
          <t>MARK</t>
        </is>
      </c>
      <c r="I353" t="n">
        <v>2.2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34161-2023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45137</v>
      </c>
      <c r="E354" s="1" t="n">
        <v>46326</v>
      </c>
      <c r="F354" t="inlineStr">
        <is>
          <t>VÄSTRA GÖTALANDS LÄN</t>
        </is>
      </c>
      <c r="G354" t="inlineStr">
        <is>
          <t>MARK</t>
        </is>
      </c>
      <c r="I354" t="n">
        <v>6.2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23089-2023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45075</v>
      </c>
      <c r="E355" s="1" t="n">
        <v>46326</v>
      </c>
      <c r="F355" t="inlineStr">
        <is>
          <t>VÄSTRA GÖTALANDS LÄN</t>
        </is>
      </c>
      <c r="G355" t="inlineStr">
        <is>
          <t>MARK</t>
        </is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57168-2024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45629</v>
      </c>
      <c r="E356" s="1" t="n">
        <v>46326</v>
      </c>
      <c r="F356" t="inlineStr">
        <is>
          <t>VÄSTRA GÖTALANDS LÄN</t>
        </is>
      </c>
      <c r="G356" t="inlineStr">
        <is>
          <t>MARK</t>
        </is>
      </c>
      <c r="I356" t="n">
        <v>0.7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11551-2026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46084</v>
      </c>
      <c r="E357" s="1" t="n">
        <v>46326</v>
      </c>
      <c r="F357" t="inlineStr">
        <is>
          <t>VÄSTRA GÖTALANDS LÄN</t>
        </is>
      </c>
      <c r="G357" t="inlineStr">
        <is>
          <t>MARK</t>
        </is>
      </c>
      <c r="I357" t="n">
        <v>8.6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57528-2025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45980</v>
      </c>
      <c r="E358" s="1" t="n">
        <v>46326</v>
      </c>
      <c r="F358" t="inlineStr">
        <is>
          <t>VÄSTRA GÖTALANDS LÄN</t>
        </is>
      </c>
      <c r="G358" t="inlineStr">
        <is>
          <t>MARK</t>
        </is>
      </c>
      <c r="I358" t="n">
        <v>1.6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13553-2022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44648</v>
      </c>
      <c r="E359" s="1" t="n">
        <v>46326</v>
      </c>
      <c r="F359" t="inlineStr">
        <is>
          <t>VÄSTRA GÖTALANDS LÄN</t>
        </is>
      </c>
      <c r="G359" t="inlineStr">
        <is>
          <t>MARK</t>
        </is>
      </c>
      <c r="I359" t="n">
        <v>2.4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43178-2022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44834</v>
      </c>
      <c r="E360" s="1" t="n">
        <v>46326</v>
      </c>
      <c r="F360" t="inlineStr">
        <is>
          <t>VÄSTRA GÖTALANDS LÄN</t>
        </is>
      </c>
      <c r="G360" t="inlineStr">
        <is>
          <t>MARK</t>
        </is>
      </c>
      <c r="I360" t="n">
        <v>2.3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57993-2025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45982</v>
      </c>
      <c r="E361" s="1" t="n">
        <v>46326</v>
      </c>
      <c r="F361" t="inlineStr">
        <is>
          <t>VÄSTRA GÖTALANDS LÄN</t>
        </is>
      </c>
      <c r="G361" t="inlineStr">
        <is>
          <t>MARK</t>
        </is>
      </c>
      <c r="I361" t="n">
        <v>0.3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11969-2026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46085</v>
      </c>
      <c r="E362" s="1" t="n">
        <v>46326</v>
      </c>
      <c r="F362" t="inlineStr">
        <is>
          <t>VÄSTRA GÖTALANDS LÄN</t>
        </is>
      </c>
      <c r="G362" t="inlineStr">
        <is>
          <t>MARK</t>
        </is>
      </c>
      <c r="H362" t="inlineStr">
        <is>
          <t>Sveaskog</t>
        </is>
      </c>
      <c r="I362" t="n">
        <v>7.1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58640-2025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45986</v>
      </c>
      <c r="E363" s="1" t="n">
        <v>46326</v>
      </c>
      <c r="F363" t="inlineStr">
        <is>
          <t>VÄSTRA GÖTALANDS LÄN</t>
        </is>
      </c>
      <c r="G363" t="inlineStr">
        <is>
          <t>MARK</t>
        </is>
      </c>
      <c r="I363" t="n">
        <v>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826-2023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44928</v>
      </c>
      <c r="E364" s="1" t="n">
        <v>46326</v>
      </c>
      <c r="F364" t="inlineStr">
        <is>
          <t>VÄSTRA GÖTALANDS LÄN</t>
        </is>
      </c>
      <c r="G364" t="inlineStr">
        <is>
          <t>MARK</t>
        </is>
      </c>
      <c r="I364" t="n">
        <v>1.1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44001-2022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44838</v>
      </c>
      <c r="E365" s="1" t="n">
        <v>46326</v>
      </c>
      <c r="F365" t="inlineStr">
        <is>
          <t>VÄSTRA GÖTALANDS LÄN</t>
        </is>
      </c>
      <c r="G365" t="inlineStr">
        <is>
          <t>MARK</t>
        </is>
      </c>
      <c r="I365" t="n">
        <v>2.7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29366-2023</t>
        </is>
      </c>
      <c r="B366" t="inlineStr">
        <is>
          <t>avverkningsanmälan</t>
        </is>
      </c>
      <c r="C366" t="inlineStr">
        <is>
          <t>Avverkning för att bevara och utveckla /försöksver</t>
        </is>
      </c>
      <c r="D366" s="1" t="n">
        <v>45106</v>
      </c>
      <c r="E366" s="1" t="n">
        <v>46326</v>
      </c>
      <c r="F366" t="inlineStr">
        <is>
          <t>VÄSTRA GÖTALANDS LÄN</t>
        </is>
      </c>
      <c r="G366" t="inlineStr">
        <is>
          <t>MARK</t>
        </is>
      </c>
      <c r="H366" t="inlineStr">
        <is>
          <t>Sveaskog</t>
        </is>
      </c>
      <c r="I366" t="n">
        <v>6.6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29368-2023</t>
        </is>
      </c>
      <c r="B367" t="inlineStr">
        <is>
          <t>avverkningsanmälan</t>
        </is>
      </c>
      <c r="C367" t="inlineStr">
        <is>
          <t>Avverkning för att bevara och utveckla /försöksver</t>
        </is>
      </c>
      <c r="D367" s="1" t="n">
        <v>45106</v>
      </c>
      <c r="E367" s="1" t="n">
        <v>46326</v>
      </c>
      <c r="F367" t="inlineStr">
        <is>
          <t>VÄSTRA GÖTALANDS LÄN</t>
        </is>
      </c>
      <c r="G367" t="inlineStr">
        <is>
          <t>MARK</t>
        </is>
      </c>
      <c r="H367" t="inlineStr">
        <is>
          <t>Sveaskog</t>
        </is>
      </c>
      <c r="I367" t="n">
        <v>1.5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22426-2022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44713</v>
      </c>
      <c r="E368" s="1" t="n">
        <v>46326</v>
      </c>
      <c r="F368" t="inlineStr">
        <is>
          <t>VÄSTRA GÖTALANDS LÄN</t>
        </is>
      </c>
      <c r="G368" t="inlineStr">
        <is>
          <t>MARK</t>
        </is>
      </c>
      <c r="I368" t="n">
        <v>1.5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3430-2025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45680</v>
      </c>
      <c r="E369" s="1" t="n">
        <v>46326</v>
      </c>
      <c r="F369" t="inlineStr">
        <is>
          <t>VÄSTRA GÖTALANDS LÄN</t>
        </is>
      </c>
      <c r="G369" t="inlineStr">
        <is>
          <t>MARK</t>
        </is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16988-2025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45755</v>
      </c>
      <c r="E370" s="1" t="n">
        <v>46326</v>
      </c>
      <c r="F370" t="inlineStr">
        <is>
          <t>VÄSTRA GÖTALANDS LÄN</t>
        </is>
      </c>
      <c r="G370" t="inlineStr">
        <is>
          <t>MARK</t>
        </is>
      </c>
      <c r="I370" t="n">
        <v>2.9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17003-2025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45755</v>
      </c>
      <c r="E371" s="1" t="n">
        <v>46326</v>
      </c>
      <c r="F371" t="inlineStr">
        <is>
          <t>VÄSTRA GÖTALANDS LÄN</t>
        </is>
      </c>
      <c r="G371" t="inlineStr">
        <is>
          <t>MARK</t>
        </is>
      </c>
      <c r="I371" t="n">
        <v>1.3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17006-2025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45755</v>
      </c>
      <c r="E372" s="1" t="n">
        <v>46326</v>
      </c>
      <c r="F372" t="inlineStr">
        <is>
          <t>VÄSTRA GÖTALANDS LÄN</t>
        </is>
      </c>
      <c r="G372" t="inlineStr">
        <is>
          <t>MARK</t>
        </is>
      </c>
      <c r="I372" t="n">
        <v>2.5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60790-2025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45999</v>
      </c>
      <c r="E373" s="1" t="n">
        <v>46326</v>
      </c>
      <c r="F373" t="inlineStr">
        <is>
          <t>VÄSTRA GÖTALANDS LÄN</t>
        </is>
      </c>
      <c r="G373" t="inlineStr">
        <is>
          <t>MARK</t>
        </is>
      </c>
      <c r="I373" t="n">
        <v>1.6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7720-2024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45349</v>
      </c>
      <c r="E374" s="1" t="n">
        <v>46326</v>
      </c>
      <c r="F374" t="inlineStr">
        <is>
          <t>VÄSTRA GÖTALANDS LÄN</t>
        </is>
      </c>
      <c r="G374" t="inlineStr">
        <is>
          <t>MARK</t>
        </is>
      </c>
      <c r="I374" t="n">
        <v>0.5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4376-2025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45686</v>
      </c>
      <c r="E375" s="1" t="n">
        <v>46326</v>
      </c>
      <c r="F375" t="inlineStr">
        <is>
          <t>VÄSTRA GÖTALANDS LÄN</t>
        </is>
      </c>
      <c r="G375" t="inlineStr">
        <is>
          <t>MARK</t>
        </is>
      </c>
      <c r="I375" t="n">
        <v>2.6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60662-2025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45996</v>
      </c>
      <c r="E376" s="1" t="n">
        <v>46326</v>
      </c>
      <c r="F376" t="inlineStr">
        <is>
          <t>VÄSTRA GÖTALANDS LÄN</t>
        </is>
      </c>
      <c r="G376" t="inlineStr">
        <is>
          <t>MARK</t>
        </is>
      </c>
      <c r="I376" t="n">
        <v>3.4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13003-2026</t>
        </is>
      </c>
      <c r="B377" t="inlineStr">
        <is>
          <t>avverkningsanmälan</t>
        </is>
      </c>
      <c r="C377" t="inlineStr">
        <is>
          <t>Avverkning för att bevara och utveckla /försöksver</t>
        </is>
      </c>
      <c r="D377" s="1" t="n">
        <v>46092</v>
      </c>
      <c r="E377" s="1" t="n">
        <v>46326</v>
      </c>
      <c r="F377" t="inlineStr">
        <is>
          <t>VÄSTRA GÖTALANDS LÄN</t>
        </is>
      </c>
      <c r="G377" t="inlineStr">
        <is>
          <t>MARK</t>
        </is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1068-2023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44935</v>
      </c>
      <c r="E378" s="1" t="n">
        <v>46326</v>
      </c>
      <c r="F378" t="inlineStr">
        <is>
          <t>VÄSTRA GÖTALANDS LÄN</t>
        </is>
      </c>
      <c r="G378" t="inlineStr">
        <is>
          <t>MARK</t>
        </is>
      </c>
      <c r="I378" t="n">
        <v>26.5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29612-2024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45484</v>
      </c>
      <c r="E379" s="1" t="n">
        <v>46326</v>
      </c>
      <c r="F379" t="inlineStr">
        <is>
          <t>VÄSTRA GÖTALANDS LÄN</t>
        </is>
      </c>
      <c r="G379" t="inlineStr">
        <is>
          <t>MARK</t>
        </is>
      </c>
      <c r="I379" t="n">
        <v>4.6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52242-2023</t>
        </is>
      </c>
      <c r="B380" t="inlineStr">
        <is>
          <t>avverkningsanmälan</t>
        </is>
      </c>
      <c r="C380" t="inlineStr">
        <is>
          <t>Avverkning för annat ändamål</t>
        </is>
      </c>
      <c r="D380" s="1" t="n">
        <v>45224</v>
      </c>
      <c r="E380" s="1" t="n">
        <v>46326</v>
      </c>
      <c r="F380" t="inlineStr">
        <is>
          <t>VÄSTRA GÖTALANDS LÄN</t>
        </is>
      </c>
      <c r="G380" t="inlineStr">
        <is>
          <t>MARK</t>
        </is>
      </c>
      <c r="I380" t="n">
        <v>0.8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61285-2025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46000</v>
      </c>
      <c r="E381" s="1" t="n">
        <v>46326</v>
      </c>
      <c r="F381" t="inlineStr">
        <is>
          <t>VÄSTRA GÖTALANDS LÄN</t>
        </is>
      </c>
      <c r="G381" t="inlineStr">
        <is>
          <t>MARK</t>
        </is>
      </c>
      <c r="I381" t="n">
        <v>1.1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61380-2025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46001</v>
      </c>
      <c r="E382" s="1" t="n">
        <v>46326</v>
      </c>
      <c r="F382" t="inlineStr">
        <is>
          <t>VÄSTRA GÖTALANDS LÄN</t>
        </is>
      </c>
      <c r="G382" t="inlineStr">
        <is>
          <t>MARK</t>
        </is>
      </c>
      <c r="I382" t="n">
        <v>0.5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61282-2025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46000</v>
      </c>
      <c r="E383" s="1" t="n">
        <v>46326</v>
      </c>
      <c r="F383" t="inlineStr">
        <is>
          <t>VÄSTRA GÖTALANDS LÄN</t>
        </is>
      </c>
      <c r="G383" t="inlineStr">
        <is>
          <t>MARK</t>
        </is>
      </c>
      <c r="I383" t="n">
        <v>6.5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13601-2026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46097</v>
      </c>
      <c r="E384" s="1" t="n">
        <v>46326</v>
      </c>
      <c r="F384" t="inlineStr">
        <is>
          <t>VÄSTRA GÖTALANDS LÄN</t>
        </is>
      </c>
      <c r="G384" t="inlineStr">
        <is>
          <t>MARK</t>
        </is>
      </c>
      <c r="I384" t="n">
        <v>2.2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61284-2025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46000</v>
      </c>
      <c r="E385" s="1" t="n">
        <v>46326</v>
      </c>
      <c r="F385" t="inlineStr">
        <is>
          <t>VÄSTRA GÖTALANDS LÄN</t>
        </is>
      </c>
      <c r="G385" t="inlineStr">
        <is>
          <t>MARK</t>
        </is>
      </c>
      <c r="I385" t="n">
        <v>1.9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61283-2025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46000</v>
      </c>
      <c r="E386" s="1" t="n">
        <v>46326</v>
      </c>
      <c r="F386" t="inlineStr">
        <is>
          <t>VÄSTRA GÖTALANDS LÄN</t>
        </is>
      </c>
      <c r="G386" t="inlineStr">
        <is>
          <t>MARK</t>
        </is>
      </c>
      <c r="I386" t="n">
        <v>1.2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45583-2023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45194</v>
      </c>
      <c r="E387" s="1" t="n">
        <v>46326</v>
      </c>
      <c r="F387" t="inlineStr">
        <is>
          <t>VÄSTRA GÖTALANDS LÄN</t>
        </is>
      </c>
      <c r="G387" t="inlineStr">
        <is>
          <t>MARK</t>
        </is>
      </c>
      <c r="I387" t="n">
        <v>3.2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62404-2025</t>
        </is>
      </c>
      <c r="B388" t="inlineStr">
        <is>
          <t>avverkningsanmälan</t>
        </is>
      </c>
      <c r="C388" t="inlineStr">
        <is>
          <t>Avverkning för annat ändamål</t>
        </is>
      </c>
      <c r="D388" s="1" t="n">
        <v>46007</v>
      </c>
      <c r="E388" s="1" t="n">
        <v>46326</v>
      </c>
      <c r="F388" t="inlineStr">
        <is>
          <t>VÄSTRA GÖTALANDS LÄN</t>
        </is>
      </c>
      <c r="G388" t="inlineStr">
        <is>
          <t>MARK</t>
        </is>
      </c>
      <c r="I388" t="n">
        <v>13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62088-2025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46006</v>
      </c>
      <c r="E389" s="1" t="n">
        <v>46326</v>
      </c>
      <c r="F389" t="inlineStr">
        <is>
          <t>VÄSTRA GÖTALANDS LÄN</t>
        </is>
      </c>
      <c r="G389" t="inlineStr">
        <is>
          <t>MARK</t>
        </is>
      </c>
      <c r="I389" t="n">
        <v>1.1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61247-2023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45264</v>
      </c>
      <c r="E390" s="1" t="n">
        <v>46326</v>
      </c>
      <c r="F390" t="inlineStr">
        <is>
          <t>VÄSTRA GÖTALANDS LÄN</t>
        </is>
      </c>
      <c r="G390" t="inlineStr">
        <is>
          <t>MARK</t>
        </is>
      </c>
      <c r="I390" t="n">
        <v>1.1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61250-2023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45264</v>
      </c>
      <c r="E391" s="1" t="n">
        <v>46326</v>
      </c>
      <c r="F391" t="inlineStr">
        <is>
          <t>VÄSTRA GÖTALANDS LÄN</t>
        </is>
      </c>
      <c r="G391" t="inlineStr">
        <is>
          <t>MARK</t>
        </is>
      </c>
      <c r="I391" t="n">
        <v>2.8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22625-2022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44714</v>
      </c>
      <c r="E392" s="1" t="n">
        <v>46326</v>
      </c>
      <c r="F392" t="inlineStr">
        <is>
          <t>VÄSTRA GÖTALANDS LÄN</t>
        </is>
      </c>
      <c r="G392" t="inlineStr">
        <is>
          <t>MARK</t>
        </is>
      </c>
      <c r="I392" t="n">
        <v>2.9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62080-2025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46006</v>
      </c>
      <c r="E393" s="1" t="n">
        <v>46326</v>
      </c>
      <c r="F393" t="inlineStr">
        <is>
          <t>VÄSTRA GÖTALANDS LÄN</t>
        </is>
      </c>
      <c r="G393" t="inlineStr">
        <is>
          <t>MARK</t>
        </is>
      </c>
      <c r="I393" t="n">
        <v>4.3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62660-2025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46008</v>
      </c>
      <c r="E394" s="1" t="n">
        <v>46326</v>
      </c>
      <c r="F394" t="inlineStr">
        <is>
          <t>VÄSTRA GÖTALANDS LÄN</t>
        </is>
      </c>
      <c r="G394" t="inlineStr">
        <is>
          <t>MARK</t>
        </is>
      </c>
      <c r="I394" t="n">
        <v>6.2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3655-2023</t>
        </is>
      </c>
      <c r="B395" t="inlineStr">
        <is>
          <t>avverkningsanmälan</t>
        </is>
      </c>
      <c r="C395" t="inlineStr">
        <is>
          <t>Avverkning för att bevara och utveckla /försöksver</t>
        </is>
      </c>
      <c r="D395" s="1" t="n">
        <v>44950</v>
      </c>
      <c r="E395" s="1" t="n">
        <v>46326</v>
      </c>
      <c r="F395" t="inlineStr">
        <is>
          <t>VÄSTRA GÖTALANDS LÄN</t>
        </is>
      </c>
      <c r="G395" t="inlineStr">
        <is>
          <t>MARK</t>
        </is>
      </c>
      <c r="H395" t="inlineStr">
        <is>
          <t>Sveaskog</t>
        </is>
      </c>
      <c r="I395" t="n">
        <v>1.1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63418-2025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46013</v>
      </c>
      <c r="E396" s="1" t="n">
        <v>46326</v>
      </c>
      <c r="F396" t="inlineStr">
        <is>
          <t>VÄSTRA GÖTALANDS LÄN</t>
        </is>
      </c>
      <c r="G396" t="inlineStr">
        <is>
          <t>MARK</t>
        </is>
      </c>
      <c r="I396" t="n">
        <v>0.6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40557-2024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45555</v>
      </c>
      <c r="E397" s="1" t="n">
        <v>46326</v>
      </c>
      <c r="F397" t="inlineStr">
        <is>
          <t>VÄSTRA GÖTALANDS LÄN</t>
        </is>
      </c>
      <c r="G397" t="inlineStr">
        <is>
          <t>MARK</t>
        </is>
      </c>
      <c r="I397" t="n">
        <v>2.3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17926-2024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45419</v>
      </c>
      <c r="E398" s="1" t="n">
        <v>46326</v>
      </c>
      <c r="F398" t="inlineStr">
        <is>
          <t>VÄSTRA GÖTALANDS LÄN</t>
        </is>
      </c>
      <c r="G398" t="inlineStr">
        <is>
          <t>MARK</t>
        </is>
      </c>
      <c r="I398" t="n">
        <v>1.1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63493-2025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46013</v>
      </c>
      <c r="E399" s="1" t="n">
        <v>46326</v>
      </c>
      <c r="F399" t="inlineStr">
        <is>
          <t>VÄSTRA GÖTALANDS LÄN</t>
        </is>
      </c>
      <c r="G399" t="inlineStr">
        <is>
          <t>MARK</t>
        </is>
      </c>
      <c r="I399" t="n">
        <v>0.5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11175-2025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45724</v>
      </c>
      <c r="E400" s="1" t="n">
        <v>46326</v>
      </c>
      <c r="F400" t="inlineStr">
        <is>
          <t>VÄSTRA GÖTALANDS LÄN</t>
        </is>
      </c>
      <c r="G400" t="inlineStr">
        <is>
          <t>MARK</t>
        </is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7958-2025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45707</v>
      </c>
      <c r="E401" s="1" t="n">
        <v>46326</v>
      </c>
      <c r="F401" t="inlineStr">
        <is>
          <t>VÄSTRA GÖTALANDS LÄN</t>
        </is>
      </c>
      <c r="G401" t="inlineStr">
        <is>
          <t>MARK</t>
        </is>
      </c>
      <c r="I401" t="n">
        <v>1.8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9256-2025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45714</v>
      </c>
      <c r="E402" s="1" t="n">
        <v>46326</v>
      </c>
      <c r="F402" t="inlineStr">
        <is>
          <t>VÄSTRA GÖTALANDS LÄN</t>
        </is>
      </c>
      <c r="G402" t="inlineStr">
        <is>
          <t>MARK</t>
        </is>
      </c>
      <c r="I402" t="n">
        <v>5.8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9174-2025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45714</v>
      </c>
      <c r="E403" s="1" t="n">
        <v>46326</v>
      </c>
      <c r="F403" t="inlineStr">
        <is>
          <t>VÄSTRA GÖTALANDS LÄN</t>
        </is>
      </c>
      <c r="G403" t="inlineStr">
        <is>
          <t>MARK</t>
        </is>
      </c>
      <c r="I403" t="n">
        <v>2.7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9099-2025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45713</v>
      </c>
      <c r="E404" s="1" t="n">
        <v>46326</v>
      </c>
      <c r="F404" t="inlineStr">
        <is>
          <t>VÄSTRA GÖTALANDS LÄN</t>
        </is>
      </c>
      <c r="G404" t="inlineStr">
        <is>
          <t>MARK</t>
        </is>
      </c>
      <c r="I404" t="n">
        <v>0.8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14570-2026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46100</v>
      </c>
      <c r="E405" s="1" t="n">
        <v>46326</v>
      </c>
      <c r="F405" t="inlineStr">
        <is>
          <t>VÄSTRA GÖTALANDS LÄN</t>
        </is>
      </c>
      <c r="G405" t="inlineStr">
        <is>
          <t>MARK</t>
        </is>
      </c>
      <c r="I405" t="n">
        <v>6.4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32961-2025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45839</v>
      </c>
      <c r="E406" s="1" t="n">
        <v>46326</v>
      </c>
      <c r="F406" t="inlineStr">
        <is>
          <t>VÄSTRA GÖTALANDS LÄN</t>
        </is>
      </c>
      <c r="G406" t="inlineStr">
        <is>
          <t>MARK</t>
        </is>
      </c>
      <c r="H406" t="inlineStr">
        <is>
          <t>Sveaskog</t>
        </is>
      </c>
      <c r="I406" t="n">
        <v>1.3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55604-2023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45238</v>
      </c>
      <c r="E407" s="1" t="n">
        <v>46326</v>
      </c>
      <c r="F407" t="inlineStr">
        <is>
          <t>VÄSTRA GÖTALANDS LÄN</t>
        </is>
      </c>
      <c r="G407" t="inlineStr">
        <is>
          <t>MARK</t>
        </is>
      </c>
      <c r="I407" t="n">
        <v>1.2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5592-2025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45693</v>
      </c>
      <c r="E408" s="1" t="n">
        <v>46326</v>
      </c>
      <c r="F408" t="inlineStr">
        <is>
          <t>VÄSTRA GÖTALANDS LÄN</t>
        </is>
      </c>
      <c r="G408" t="inlineStr">
        <is>
          <t>MARK</t>
        </is>
      </c>
      <c r="I408" t="n">
        <v>8.300000000000001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8546-2025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45709</v>
      </c>
      <c r="E409" s="1" t="n">
        <v>46326</v>
      </c>
      <c r="F409" t="inlineStr">
        <is>
          <t>VÄSTRA GÖTALANDS LÄN</t>
        </is>
      </c>
      <c r="G409" t="inlineStr">
        <is>
          <t>MARK</t>
        </is>
      </c>
      <c r="I409" t="n">
        <v>4.6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4989-2025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45691</v>
      </c>
      <c r="E410" s="1" t="n">
        <v>46326</v>
      </c>
      <c r="F410" t="inlineStr">
        <is>
          <t>VÄSTRA GÖTALANDS LÄN</t>
        </is>
      </c>
      <c r="G410" t="inlineStr">
        <is>
          <t>MARK</t>
        </is>
      </c>
      <c r="I410" t="n">
        <v>1.7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34163-2023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45137</v>
      </c>
      <c r="E411" s="1" t="n">
        <v>46326</v>
      </c>
      <c r="F411" t="inlineStr">
        <is>
          <t>VÄSTRA GÖTALANDS LÄN</t>
        </is>
      </c>
      <c r="G411" t="inlineStr">
        <is>
          <t>MARK</t>
        </is>
      </c>
      <c r="I411" t="n">
        <v>4.2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21639-2024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45442</v>
      </c>
      <c r="E412" s="1" t="n">
        <v>46326</v>
      </c>
      <c r="F412" t="inlineStr">
        <is>
          <t>VÄSTRA GÖTALANDS LÄN</t>
        </is>
      </c>
      <c r="G412" t="inlineStr">
        <is>
          <t>MARK</t>
        </is>
      </c>
      <c r="I412" t="n">
        <v>0.6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22144-2022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44712</v>
      </c>
      <c r="E413" s="1" t="n">
        <v>46326</v>
      </c>
      <c r="F413" t="inlineStr">
        <is>
          <t>VÄSTRA GÖTALANDS LÄN</t>
        </is>
      </c>
      <c r="G413" t="inlineStr">
        <is>
          <t>MARK</t>
        </is>
      </c>
      <c r="I413" t="n">
        <v>0.7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62375-2023</t>
        </is>
      </c>
      <c r="B414" t="inlineStr">
        <is>
          <t>avverkningsanmälan</t>
        </is>
      </c>
      <c r="C414" t="inlineStr">
        <is>
          <t>Avverkning för annat ändamål</t>
        </is>
      </c>
      <c r="D414" s="1" t="n">
        <v>45268</v>
      </c>
      <c r="E414" s="1" t="n">
        <v>46326</v>
      </c>
      <c r="F414" t="inlineStr">
        <is>
          <t>VÄSTRA GÖTALANDS LÄN</t>
        </is>
      </c>
      <c r="G414" t="inlineStr">
        <is>
          <t>MARK</t>
        </is>
      </c>
      <c r="I414" t="n">
        <v>1.3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17394-2024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45414</v>
      </c>
      <c r="E415" s="1" t="n">
        <v>46326</v>
      </c>
      <c r="F415" t="inlineStr">
        <is>
          <t>VÄSTRA GÖTALANDS LÄN</t>
        </is>
      </c>
      <c r="G415" t="inlineStr">
        <is>
          <t>MARK</t>
        </is>
      </c>
      <c r="H415" t="inlineStr">
        <is>
          <t>Kommuner</t>
        </is>
      </c>
      <c r="I415" t="n">
        <v>0.9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65121-2023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45288</v>
      </c>
      <c r="E416" s="1" t="n">
        <v>46326</v>
      </c>
      <c r="F416" t="inlineStr">
        <is>
          <t>VÄSTRA GÖTALANDS LÄN</t>
        </is>
      </c>
      <c r="G416" t="inlineStr">
        <is>
          <t>MARK</t>
        </is>
      </c>
      <c r="I416" t="n">
        <v>6.8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14132-2024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45392</v>
      </c>
      <c r="E417" s="1" t="n">
        <v>46326</v>
      </c>
      <c r="F417" t="inlineStr">
        <is>
          <t>VÄSTRA GÖTALANDS LÄN</t>
        </is>
      </c>
      <c r="G417" t="inlineStr">
        <is>
          <t>MARK</t>
        </is>
      </c>
      <c r="I417" t="n">
        <v>1.8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30275-2024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45490</v>
      </c>
      <c r="E418" s="1" t="n">
        <v>46326</v>
      </c>
      <c r="F418" t="inlineStr">
        <is>
          <t>VÄSTRA GÖTALANDS LÄN</t>
        </is>
      </c>
      <c r="G418" t="inlineStr">
        <is>
          <t>MARK</t>
        </is>
      </c>
      <c r="I418" t="n">
        <v>1.8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16159-2025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45750</v>
      </c>
      <c r="E419" s="1" t="n">
        <v>46326</v>
      </c>
      <c r="F419" t="inlineStr">
        <is>
          <t>VÄSTRA GÖTALANDS LÄN</t>
        </is>
      </c>
      <c r="G419" t="inlineStr">
        <is>
          <t>MARK</t>
        </is>
      </c>
      <c r="I419" t="n">
        <v>5.2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6770-2024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45342</v>
      </c>
      <c r="E420" s="1" t="n">
        <v>46326</v>
      </c>
      <c r="F420" t="inlineStr">
        <is>
          <t>VÄSTRA GÖTALANDS LÄN</t>
        </is>
      </c>
      <c r="G420" t="inlineStr">
        <is>
          <t>MARK</t>
        </is>
      </c>
      <c r="I420" t="n">
        <v>2.7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57414-2024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45629</v>
      </c>
      <c r="E421" s="1" t="n">
        <v>46326</v>
      </c>
      <c r="F421" t="inlineStr">
        <is>
          <t>VÄSTRA GÖTALANDS LÄN</t>
        </is>
      </c>
      <c r="G421" t="inlineStr">
        <is>
          <t>MARK</t>
        </is>
      </c>
      <c r="I421" t="n">
        <v>4.6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19608-2024</t>
        </is>
      </c>
      <c r="B422" t="inlineStr">
        <is>
          <t>avverkningsanmälan</t>
        </is>
      </c>
      <c r="C422" t="inlineStr">
        <is>
          <t>Avverkning för att bevara och utveckla /försöksver</t>
        </is>
      </c>
      <c r="D422" s="1" t="n">
        <v>45432</v>
      </c>
      <c r="E422" s="1" t="n">
        <v>46326</v>
      </c>
      <c r="F422" t="inlineStr">
        <is>
          <t>VÄSTRA GÖTALANDS LÄN</t>
        </is>
      </c>
      <c r="G422" t="inlineStr">
        <is>
          <t>MARK</t>
        </is>
      </c>
      <c r="H422" t="inlineStr">
        <is>
          <t>Sveaskog</t>
        </is>
      </c>
      <c r="I422" t="n">
        <v>2.3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17927-2024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45419</v>
      </c>
      <c r="E423" s="1" t="n">
        <v>46326</v>
      </c>
      <c r="F423" t="inlineStr">
        <is>
          <t>VÄSTRA GÖTALANDS LÄN</t>
        </is>
      </c>
      <c r="G423" t="inlineStr">
        <is>
          <t>MARK</t>
        </is>
      </c>
      <c r="I423" t="n">
        <v>0.6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31044-2022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44768</v>
      </c>
      <c r="E424" s="1" t="n">
        <v>46326</v>
      </c>
      <c r="F424" t="inlineStr">
        <is>
          <t>VÄSTRA GÖTALANDS LÄN</t>
        </is>
      </c>
      <c r="G424" t="inlineStr">
        <is>
          <t>MARK</t>
        </is>
      </c>
      <c r="I424" t="n">
        <v>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6845-2024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45342</v>
      </c>
      <c r="E425" s="1" t="n">
        <v>46326</v>
      </c>
      <c r="F425" t="inlineStr">
        <is>
          <t>VÄSTRA GÖTALANDS LÄN</t>
        </is>
      </c>
      <c r="G425" t="inlineStr">
        <is>
          <t>MARK</t>
        </is>
      </c>
      <c r="I425" t="n">
        <v>2.2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36093-2024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45533</v>
      </c>
      <c r="E426" s="1" t="n">
        <v>46326</v>
      </c>
      <c r="F426" t="inlineStr">
        <is>
          <t>VÄSTRA GÖTALANDS LÄN</t>
        </is>
      </c>
      <c r="G426" t="inlineStr">
        <is>
          <t>MARK</t>
        </is>
      </c>
      <c r="I426" t="n">
        <v>0.6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30753-2022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44764</v>
      </c>
      <c r="E427" s="1" t="n">
        <v>46326</v>
      </c>
      <c r="F427" t="inlineStr">
        <is>
          <t>VÄSTRA GÖTALANDS LÄN</t>
        </is>
      </c>
      <c r="G427" t="inlineStr">
        <is>
          <t>MARK</t>
        </is>
      </c>
      <c r="I427" t="n">
        <v>2.6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34653-2023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45140</v>
      </c>
      <c r="E428" s="1" t="n">
        <v>46326</v>
      </c>
      <c r="F428" t="inlineStr">
        <is>
          <t>VÄSTRA GÖTALANDS LÄN</t>
        </is>
      </c>
      <c r="G428" t="inlineStr">
        <is>
          <t>MARK</t>
        </is>
      </c>
      <c r="I428" t="n">
        <v>1.5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43477-2025</t>
        </is>
      </c>
      <c r="B429" t="inlineStr">
        <is>
          <t>avverkningsanmälan</t>
        </is>
      </c>
      <c r="C429" t="inlineStr">
        <is>
          <t>Avverkning för att bevara och utveckla /försöksver</t>
        </is>
      </c>
      <c r="D429" s="1" t="n">
        <v>45911</v>
      </c>
      <c r="E429" s="1" t="n">
        <v>46326</v>
      </c>
      <c r="F429" t="inlineStr">
        <is>
          <t>VÄSTRA GÖTALANDS LÄN</t>
        </is>
      </c>
      <c r="G429" t="inlineStr">
        <is>
          <t>MARK</t>
        </is>
      </c>
      <c r="I429" t="n">
        <v>4.5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1313-2025</t>
        </is>
      </c>
      <c r="B430" t="inlineStr">
        <is>
          <t>avverkningsanmälan</t>
        </is>
      </c>
      <c r="C430" t="inlineStr">
        <is>
          <t>Avverkning för annat ändamål</t>
        </is>
      </c>
      <c r="D430" s="1" t="n">
        <v>45667</v>
      </c>
      <c r="E430" s="1" t="n">
        <v>46326</v>
      </c>
      <c r="F430" t="inlineStr">
        <is>
          <t>VÄSTRA GÖTALANDS LÄN</t>
        </is>
      </c>
      <c r="G430" t="inlineStr">
        <is>
          <t>MARK</t>
        </is>
      </c>
      <c r="I430" t="n">
        <v>0.8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18446-2026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46127</v>
      </c>
      <c r="E431" s="1" t="n">
        <v>46326</v>
      </c>
      <c r="F431" t="inlineStr">
        <is>
          <t>VÄSTRA GÖTALANDS LÄN</t>
        </is>
      </c>
      <c r="G431" t="inlineStr">
        <is>
          <t>MARK</t>
        </is>
      </c>
      <c r="I431" t="n">
        <v>1.2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8812-2024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45356</v>
      </c>
      <c r="E432" s="1" t="n">
        <v>46326</v>
      </c>
      <c r="F432" t="inlineStr">
        <is>
          <t>VÄSTRA GÖTALANDS LÄN</t>
        </is>
      </c>
      <c r="G432" t="inlineStr">
        <is>
          <t>MARK</t>
        </is>
      </c>
      <c r="I432" t="n">
        <v>0.6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23865-2024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45455</v>
      </c>
      <c r="E433" s="1" t="n">
        <v>46326</v>
      </c>
      <c r="F433" t="inlineStr">
        <is>
          <t>VÄSTRA GÖTALANDS LÄN</t>
        </is>
      </c>
      <c r="G433" t="inlineStr">
        <is>
          <t>MARK</t>
        </is>
      </c>
      <c r="I433" t="n">
        <v>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19653-2026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46134</v>
      </c>
      <c r="E434" s="1" t="n">
        <v>46326</v>
      </c>
      <c r="F434" t="inlineStr">
        <is>
          <t>VÄSTRA GÖTALANDS LÄN</t>
        </is>
      </c>
      <c r="G434" t="inlineStr">
        <is>
          <t>MARK</t>
        </is>
      </c>
      <c r="I434" t="n">
        <v>0.6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46450-2023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45197</v>
      </c>
      <c r="E435" s="1" t="n">
        <v>46326</v>
      </c>
      <c r="F435" t="inlineStr">
        <is>
          <t>VÄSTRA GÖTALANDS LÄN</t>
        </is>
      </c>
      <c r="G435" t="inlineStr">
        <is>
          <t>MARK</t>
        </is>
      </c>
      <c r="I435" t="n">
        <v>1.8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29529-2025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45825</v>
      </c>
      <c r="E436" s="1" t="n">
        <v>46326</v>
      </c>
      <c r="F436" t="inlineStr">
        <is>
          <t>VÄSTRA GÖTALANDS LÄN</t>
        </is>
      </c>
      <c r="G436" t="inlineStr">
        <is>
          <t>MARK</t>
        </is>
      </c>
      <c r="I436" t="n">
        <v>3.8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36287-2022</t>
        </is>
      </c>
      <c r="B437" t="inlineStr">
        <is>
          <t>avverkningsanmälan</t>
        </is>
      </c>
      <c r="C437" t="inlineStr">
        <is>
          <t>Avverkning för annat ändamål</t>
        </is>
      </c>
      <c r="D437" s="1" t="n">
        <v>44803</v>
      </c>
      <c r="E437" s="1" t="n">
        <v>46326</v>
      </c>
      <c r="F437" t="inlineStr">
        <is>
          <t>VÄSTRA GÖTALANDS LÄN</t>
        </is>
      </c>
      <c r="G437" t="inlineStr">
        <is>
          <t>MARK</t>
        </is>
      </c>
      <c r="I437" t="n">
        <v>1.7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59175-2024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45637</v>
      </c>
      <c r="E438" s="1" t="n">
        <v>46326</v>
      </c>
      <c r="F438" t="inlineStr">
        <is>
          <t>VÄSTRA GÖTALANDS LÄN</t>
        </is>
      </c>
      <c r="G438" t="inlineStr">
        <is>
          <t>MARK</t>
        </is>
      </c>
      <c r="I438" t="n">
        <v>2.7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7343-2023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44971</v>
      </c>
      <c r="E439" s="1" t="n">
        <v>46326</v>
      </c>
      <c r="F439" t="inlineStr">
        <is>
          <t>VÄSTRA GÖTALANDS LÄN</t>
        </is>
      </c>
      <c r="G439" t="inlineStr">
        <is>
          <t>MARK</t>
        </is>
      </c>
      <c r="I439" t="n">
        <v>1.8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61486-2021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44501</v>
      </c>
      <c r="E440" s="1" t="n">
        <v>46326</v>
      </c>
      <c r="F440" t="inlineStr">
        <is>
          <t>VÄSTRA GÖTALANDS LÄN</t>
        </is>
      </c>
      <c r="G440" t="inlineStr">
        <is>
          <t>MARK</t>
        </is>
      </c>
      <c r="I440" t="n">
        <v>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28640-2025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45819</v>
      </c>
      <c r="E441" s="1" t="n">
        <v>46326</v>
      </c>
      <c r="F441" t="inlineStr">
        <is>
          <t>VÄSTRA GÖTALANDS LÄN</t>
        </is>
      </c>
      <c r="G441" t="inlineStr">
        <is>
          <t>MARK</t>
        </is>
      </c>
      <c r="I441" t="n">
        <v>1.4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23243-2025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45791</v>
      </c>
      <c r="E442" s="1" t="n">
        <v>46326</v>
      </c>
      <c r="F442" t="inlineStr">
        <is>
          <t>VÄSTRA GÖTALANDS LÄN</t>
        </is>
      </c>
      <c r="G442" t="inlineStr">
        <is>
          <t>MARK</t>
        </is>
      </c>
      <c r="I442" t="n">
        <v>5.1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61059-2023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45260</v>
      </c>
      <c r="E443" s="1" t="n">
        <v>46326</v>
      </c>
      <c r="F443" t="inlineStr">
        <is>
          <t>VÄSTRA GÖTALANDS LÄN</t>
        </is>
      </c>
      <c r="G443" t="inlineStr">
        <is>
          <t>MARK</t>
        </is>
      </c>
      <c r="I443" t="n">
        <v>1.1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43207-2022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44834</v>
      </c>
      <c r="E444" s="1" t="n">
        <v>46326</v>
      </c>
      <c r="F444" t="inlineStr">
        <is>
          <t>VÄSTRA GÖTALANDS LÄN</t>
        </is>
      </c>
      <c r="G444" t="inlineStr">
        <is>
          <t>MARK</t>
        </is>
      </c>
      <c r="I444" t="n">
        <v>12.5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37095-2022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44806</v>
      </c>
      <c r="E445" s="1" t="n">
        <v>46326</v>
      </c>
      <c r="F445" t="inlineStr">
        <is>
          <t>VÄSTRA GÖTALANDS LÄN</t>
        </is>
      </c>
      <c r="G445" t="inlineStr">
        <is>
          <t>MARK</t>
        </is>
      </c>
      <c r="I445" t="n">
        <v>1.4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36786-2023</t>
        </is>
      </c>
      <c r="B446" t="inlineStr">
        <is>
          <t>avverkningsanmälan</t>
        </is>
      </c>
      <c r="C446" t="inlineStr">
        <is>
          <t>Avverkning för annat ändamål</t>
        </is>
      </c>
      <c r="D446" s="1" t="n">
        <v>45154</v>
      </c>
      <c r="E446" s="1" t="n">
        <v>46326</v>
      </c>
      <c r="F446" t="inlineStr">
        <is>
          <t>VÄSTRA GÖTALANDS LÄN</t>
        </is>
      </c>
      <c r="G446" t="inlineStr">
        <is>
          <t>MARK</t>
        </is>
      </c>
      <c r="I446" t="n">
        <v>2.2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21587-2023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45063</v>
      </c>
      <c r="E447" s="1" t="n">
        <v>46326</v>
      </c>
      <c r="F447" t="inlineStr">
        <is>
          <t>VÄSTRA GÖTALANDS LÄN</t>
        </is>
      </c>
      <c r="G447" t="inlineStr">
        <is>
          <t>MARK</t>
        </is>
      </c>
      <c r="I447" t="n">
        <v>10.4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28020-2025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45817</v>
      </c>
      <c r="E448" s="1" t="n">
        <v>46326</v>
      </c>
      <c r="F448" t="inlineStr">
        <is>
          <t>VÄSTRA GÖTALANDS LÄN</t>
        </is>
      </c>
      <c r="G448" t="inlineStr">
        <is>
          <t>MARK</t>
        </is>
      </c>
      <c r="I448" t="n">
        <v>1.6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57523-2022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44896</v>
      </c>
      <c r="E449" s="1" t="n">
        <v>46326</v>
      </c>
      <c r="F449" t="inlineStr">
        <is>
          <t>VÄSTRA GÖTALANDS LÄN</t>
        </is>
      </c>
      <c r="G449" t="inlineStr">
        <is>
          <t>MARK</t>
        </is>
      </c>
      <c r="I449" t="n">
        <v>1.7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39601-2024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45552</v>
      </c>
      <c r="E450" s="1" t="n">
        <v>46326</v>
      </c>
      <c r="F450" t="inlineStr">
        <is>
          <t>VÄSTRA GÖTALANDS LÄN</t>
        </is>
      </c>
      <c r="G450" t="inlineStr">
        <is>
          <t>MARK</t>
        </is>
      </c>
      <c r="I450" t="n">
        <v>0.9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27138-2025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45811</v>
      </c>
      <c r="E451" s="1" t="n">
        <v>46326</v>
      </c>
      <c r="F451" t="inlineStr">
        <is>
          <t>VÄSTRA GÖTALANDS LÄN</t>
        </is>
      </c>
      <c r="G451" t="inlineStr">
        <is>
          <t>MARK</t>
        </is>
      </c>
      <c r="I451" t="n">
        <v>4.6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24449-2023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45076</v>
      </c>
      <c r="E452" s="1" t="n">
        <v>46326</v>
      </c>
      <c r="F452" t="inlineStr">
        <is>
          <t>VÄSTRA GÖTALANDS LÄN</t>
        </is>
      </c>
      <c r="G452" t="inlineStr">
        <is>
          <t>MARK</t>
        </is>
      </c>
      <c r="I452" t="n">
        <v>1.1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34167-2023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45137</v>
      </c>
      <c r="E453" s="1" t="n">
        <v>46326</v>
      </c>
      <c r="F453" t="inlineStr">
        <is>
          <t>VÄSTRA GÖTALANDS LÄN</t>
        </is>
      </c>
      <c r="G453" t="inlineStr">
        <is>
          <t>MARK</t>
        </is>
      </c>
      <c r="I453" t="n">
        <v>12.2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61379-2023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45264</v>
      </c>
      <c r="E454" s="1" t="n">
        <v>46326</v>
      </c>
      <c r="F454" t="inlineStr">
        <is>
          <t>VÄSTRA GÖTALANDS LÄN</t>
        </is>
      </c>
      <c r="G454" t="inlineStr">
        <is>
          <t>MARK</t>
        </is>
      </c>
      <c r="I454" t="n">
        <v>0.6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4027-2023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44952</v>
      </c>
      <c r="E455" s="1" t="n">
        <v>46326</v>
      </c>
      <c r="F455" t="inlineStr">
        <is>
          <t>VÄSTRA GÖTALANDS LÄN</t>
        </is>
      </c>
      <c r="G455" t="inlineStr">
        <is>
          <t>MARK</t>
        </is>
      </c>
      <c r="I455" t="n">
        <v>7.9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22037-2024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45443</v>
      </c>
      <c r="E456" s="1" t="n">
        <v>46326</v>
      </c>
      <c r="F456" t="inlineStr">
        <is>
          <t>VÄSTRA GÖTALANDS LÄN</t>
        </is>
      </c>
      <c r="G456" t="inlineStr">
        <is>
          <t>MARK</t>
        </is>
      </c>
      <c r="I456" t="n">
        <v>2.2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34641-2024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45526</v>
      </c>
      <c r="E457" s="1" t="n">
        <v>46326</v>
      </c>
      <c r="F457" t="inlineStr">
        <is>
          <t>VÄSTRA GÖTALANDS LÄN</t>
        </is>
      </c>
      <c r="G457" t="inlineStr">
        <is>
          <t>MARK</t>
        </is>
      </c>
      <c r="I457" t="n">
        <v>3.3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36374-2025</t>
        </is>
      </c>
      <c r="B458" t="inlineStr">
        <is>
          <t>avverkningsanmälan</t>
        </is>
      </c>
      <c r="C458" t="inlineStr">
        <is>
          <t>Avverkning för annat ändamål</t>
        </is>
      </c>
      <c r="D458" s="1" t="n">
        <v>45868</v>
      </c>
      <c r="E458" s="1" t="n">
        <v>46326</v>
      </c>
      <c r="F458" t="inlineStr">
        <is>
          <t>VÄSTRA GÖTALANDS LÄN</t>
        </is>
      </c>
      <c r="G458" t="inlineStr">
        <is>
          <t>MARK</t>
        </is>
      </c>
      <c r="I458" t="n">
        <v>1.5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54846-2023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45236</v>
      </c>
      <c r="E459" s="1" t="n">
        <v>46326</v>
      </c>
      <c r="F459" t="inlineStr">
        <is>
          <t>VÄSTRA GÖTALANDS LÄN</t>
        </is>
      </c>
      <c r="G459" t="inlineStr">
        <is>
          <t>MARK</t>
        </is>
      </c>
      <c r="I459" t="n">
        <v>2.1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36772-2023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45154</v>
      </c>
      <c r="E460" s="1" t="n">
        <v>46326</v>
      </c>
      <c r="F460" t="inlineStr">
        <is>
          <t>VÄSTRA GÖTALANDS LÄN</t>
        </is>
      </c>
      <c r="G460" t="inlineStr">
        <is>
          <t>MARK</t>
        </is>
      </c>
      <c r="I460" t="n">
        <v>2.7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15448-2022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44660</v>
      </c>
      <c r="E461" s="1" t="n">
        <v>46326</v>
      </c>
      <c r="F461" t="inlineStr">
        <is>
          <t>VÄSTRA GÖTALANDS LÄN</t>
        </is>
      </c>
      <c r="G461" t="inlineStr">
        <is>
          <t>MARK</t>
        </is>
      </c>
      <c r="I461" t="n">
        <v>1.7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963-2024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45301</v>
      </c>
      <c r="E462" s="1" t="n">
        <v>46326</v>
      </c>
      <c r="F462" t="inlineStr">
        <is>
          <t>VÄSTRA GÖTALANDS LÄN</t>
        </is>
      </c>
      <c r="G462" t="inlineStr">
        <is>
          <t>MARK</t>
        </is>
      </c>
      <c r="I462" t="n">
        <v>1.5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45025-2025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45918</v>
      </c>
      <c r="E463" s="1" t="n">
        <v>46326</v>
      </c>
      <c r="F463" t="inlineStr">
        <is>
          <t>VÄSTRA GÖTALANDS LÄN</t>
        </is>
      </c>
      <c r="G463" t="inlineStr">
        <is>
          <t>MARK</t>
        </is>
      </c>
      <c r="I463" t="n">
        <v>2.4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4139-2022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44588</v>
      </c>
      <c r="E464" s="1" t="n">
        <v>46326</v>
      </c>
      <c r="F464" t="inlineStr">
        <is>
          <t>VÄSTRA GÖTALANDS LÄN</t>
        </is>
      </c>
      <c r="G464" t="inlineStr">
        <is>
          <t>MARK</t>
        </is>
      </c>
      <c r="I464" t="n">
        <v>0.7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25560-2022</t>
        </is>
      </c>
      <c r="B465" t="inlineStr">
        <is>
          <t>avverkningsanmälan</t>
        </is>
      </c>
      <c r="C465" t="inlineStr">
        <is>
          <t>Avverkning för annat ändamål</t>
        </is>
      </c>
      <c r="D465" s="1" t="n">
        <v>44732</v>
      </c>
      <c r="E465" s="1" t="n">
        <v>46326</v>
      </c>
      <c r="F465" t="inlineStr">
        <is>
          <t>VÄSTRA GÖTALANDS LÄN</t>
        </is>
      </c>
      <c r="G465" t="inlineStr">
        <is>
          <t>MARK</t>
        </is>
      </c>
      <c r="I465" t="n">
        <v>1.1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15788-2023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45021</v>
      </c>
      <c r="E466" s="1" t="n">
        <v>46326</v>
      </c>
      <c r="F466" t="inlineStr">
        <is>
          <t>VÄSTRA GÖTALANDS LÄN</t>
        </is>
      </c>
      <c r="G466" t="inlineStr">
        <is>
          <t>MARK</t>
        </is>
      </c>
      <c r="I466" t="n">
        <v>1.1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63590-2023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45275</v>
      </c>
      <c r="E467" s="1" t="n">
        <v>46326</v>
      </c>
      <c r="F467" t="inlineStr">
        <is>
          <t>VÄSTRA GÖTALANDS LÄN</t>
        </is>
      </c>
      <c r="G467" t="inlineStr">
        <is>
          <t>MARK</t>
        </is>
      </c>
      <c r="I467" t="n">
        <v>4.4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63591-2023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45275</v>
      </c>
      <c r="E468" s="1" t="n">
        <v>46326</v>
      </c>
      <c r="F468" t="inlineStr">
        <is>
          <t>VÄSTRA GÖTALANDS LÄN</t>
        </is>
      </c>
      <c r="G468" t="inlineStr">
        <is>
          <t>MARK</t>
        </is>
      </c>
      <c r="I468" t="n">
        <v>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8856-2023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44978</v>
      </c>
      <c r="E469" s="1" t="n">
        <v>46326</v>
      </c>
      <c r="F469" t="inlineStr">
        <is>
          <t>VÄSTRA GÖTALANDS LÄN</t>
        </is>
      </c>
      <c r="G469" t="inlineStr">
        <is>
          <t>MARK</t>
        </is>
      </c>
      <c r="I469" t="n">
        <v>6.5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21214-2026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46146</v>
      </c>
      <c r="E470" s="1" t="n">
        <v>46326</v>
      </c>
      <c r="F470" t="inlineStr">
        <is>
          <t>VÄSTRA GÖTALANDS LÄN</t>
        </is>
      </c>
      <c r="G470" t="inlineStr">
        <is>
          <t>MARK</t>
        </is>
      </c>
      <c r="I470" t="n">
        <v>1.2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21710-2026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46147</v>
      </c>
      <c r="E471" s="1" t="n">
        <v>46326</v>
      </c>
      <c r="F471" t="inlineStr">
        <is>
          <t>VÄSTRA GÖTALANDS LÄN</t>
        </is>
      </c>
      <c r="G471" t="inlineStr">
        <is>
          <t>MARK</t>
        </is>
      </c>
      <c r="I471" t="n">
        <v>2.5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13181-2024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45386</v>
      </c>
      <c r="E472" s="1" t="n">
        <v>46326</v>
      </c>
      <c r="F472" t="inlineStr">
        <is>
          <t>VÄSTRA GÖTALANDS LÄN</t>
        </is>
      </c>
      <c r="G472" t="inlineStr">
        <is>
          <t>MARK</t>
        </is>
      </c>
      <c r="I472" t="n">
        <v>1.3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22123-2026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46153</v>
      </c>
      <c r="E473" s="1" t="n">
        <v>46326</v>
      </c>
      <c r="F473" t="inlineStr">
        <is>
          <t>VÄSTRA GÖTALANDS LÄN</t>
        </is>
      </c>
      <c r="G473" t="inlineStr">
        <is>
          <t>MARK</t>
        </is>
      </c>
      <c r="I473" t="n">
        <v>1.7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58599-2022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44902</v>
      </c>
      <c r="E474" s="1" t="n">
        <v>46326</v>
      </c>
      <c r="F474" t="inlineStr">
        <is>
          <t>VÄSTRA GÖTALANDS LÄN</t>
        </is>
      </c>
      <c r="G474" t="inlineStr">
        <is>
          <t>MARK</t>
        </is>
      </c>
      <c r="I474" t="n">
        <v>2.7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12429-2024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45379</v>
      </c>
      <c r="E475" s="1" t="n">
        <v>46326</v>
      </c>
      <c r="F475" t="inlineStr">
        <is>
          <t>VÄSTRA GÖTALANDS LÄN</t>
        </is>
      </c>
      <c r="G475" t="inlineStr">
        <is>
          <t>MARK</t>
        </is>
      </c>
      <c r="I475" t="n">
        <v>5.9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59151-2023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45251</v>
      </c>
      <c r="E476" s="1" t="n">
        <v>46326</v>
      </c>
      <c r="F476" t="inlineStr">
        <is>
          <t>VÄSTRA GÖTALANDS LÄN</t>
        </is>
      </c>
      <c r="G476" t="inlineStr">
        <is>
          <t>MARK</t>
        </is>
      </c>
      <c r="I476" t="n">
        <v>0.4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59163-2023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45251</v>
      </c>
      <c r="E477" s="1" t="n">
        <v>46326</v>
      </c>
      <c r="F477" t="inlineStr">
        <is>
          <t>VÄSTRA GÖTALANDS LÄN</t>
        </is>
      </c>
      <c r="G477" t="inlineStr">
        <is>
          <t>MARK</t>
        </is>
      </c>
      <c r="I477" t="n">
        <v>6.1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34075-2023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45135</v>
      </c>
      <c r="E478" s="1" t="n">
        <v>46326</v>
      </c>
      <c r="F478" t="inlineStr">
        <is>
          <t>VÄSTRA GÖTALANDS LÄN</t>
        </is>
      </c>
      <c r="G478" t="inlineStr">
        <is>
          <t>MARK</t>
        </is>
      </c>
      <c r="I478" t="n">
        <v>0.9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58497-2023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45251</v>
      </c>
      <c r="E479" s="1" t="n">
        <v>46326</v>
      </c>
      <c r="F479" t="inlineStr">
        <is>
          <t>VÄSTRA GÖTALANDS LÄN</t>
        </is>
      </c>
      <c r="G479" t="inlineStr">
        <is>
          <t>MARK</t>
        </is>
      </c>
      <c r="I479" t="n">
        <v>3.1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4378-2025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45686</v>
      </c>
      <c r="E480" s="1" t="n">
        <v>46326</v>
      </c>
      <c r="F480" t="inlineStr">
        <is>
          <t>VÄSTRA GÖTALANDS LÄN</t>
        </is>
      </c>
      <c r="G480" t="inlineStr">
        <is>
          <t>MARK</t>
        </is>
      </c>
      <c r="I480" t="n">
        <v>1.1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32184-2023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45119</v>
      </c>
      <c r="E481" s="1" t="n">
        <v>46326</v>
      </c>
      <c r="F481" t="inlineStr">
        <is>
          <t>VÄSTRA GÖTALANDS LÄN</t>
        </is>
      </c>
      <c r="G481" t="inlineStr">
        <is>
          <t>MARK</t>
        </is>
      </c>
      <c r="I481" t="n">
        <v>1.6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17539-2026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46120</v>
      </c>
      <c r="E482" s="1" t="n">
        <v>46326</v>
      </c>
      <c r="F482" t="inlineStr">
        <is>
          <t>VÄSTRA GÖTALANDS LÄN</t>
        </is>
      </c>
      <c r="G482" t="inlineStr">
        <is>
          <t>MARK</t>
        </is>
      </c>
      <c r="I482" t="n">
        <v>2.7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38799-2022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44813</v>
      </c>
      <c r="E483" s="1" t="n">
        <v>46326</v>
      </c>
      <c r="F483" t="inlineStr">
        <is>
          <t>VÄSTRA GÖTALANDS LÄN</t>
        </is>
      </c>
      <c r="G483" t="inlineStr">
        <is>
          <t>MARK</t>
        </is>
      </c>
      <c r="I483" t="n">
        <v>3.8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33189-2024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45518</v>
      </c>
      <c r="E484" s="1" t="n">
        <v>46326</v>
      </c>
      <c r="F484" t="inlineStr">
        <is>
          <t>VÄSTRA GÖTALANDS LÄN</t>
        </is>
      </c>
      <c r="G484" t="inlineStr">
        <is>
          <t>MARK</t>
        </is>
      </c>
      <c r="H484" t="inlineStr">
        <is>
          <t>Kyrkan</t>
        </is>
      </c>
      <c r="I484" t="n">
        <v>0.5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20664-2025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45776</v>
      </c>
      <c r="E485" s="1" t="n">
        <v>46326</v>
      </c>
      <c r="F485" t="inlineStr">
        <is>
          <t>VÄSTRA GÖTALANDS LÄN</t>
        </is>
      </c>
      <c r="G485" t="inlineStr">
        <is>
          <t>MARK</t>
        </is>
      </c>
      <c r="I485" t="n">
        <v>4.3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23410-2026</t>
        </is>
      </c>
      <c r="B486" t="inlineStr">
        <is>
          <t>avverkningsanmälan</t>
        </is>
      </c>
      <c r="C486" t="inlineStr">
        <is>
          <t>Avverkning för annat ändamål</t>
        </is>
      </c>
      <c r="D486" s="1" t="n">
        <v>46162</v>
      </c>
      <c r="E486" s="1" t="n">
        <v>46326</v>
      </c>
      <c r="F486" t="inlineStr">
        <is>
          <t>VÄSTRA GÖTALANDS LÄN</t>
        </is>
      </c>
      <c r="G486" t="inlineStr">
        <is>
          <t>MARK</t>
        </is>
      </c>
      <c r="I486" t="n">
        <v>0.4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59926-2022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44909</v>
      </c>
      <c r="E487" s="1" t="n">
        <v>46326</v>
      </c>
      <c r="F487" t="inlineStr">
        <is>
          <t>VÄSTRA GÖTALANDS LÄN</t>
        </is>
      </c>
      <c r="G487" t="inlineStr">
        <is>
          <t>MARK</t>
        </is>
      </c>
      <c r="I487" t="n">
        <v>1.3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2130-2025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45672</v>
      </c>
      <c r="E488" s="1" t="n">
        <v>46326</v>
      </c>
      <c r="F488" t="inlineStr">
        <is>
          <t>VÄSTRA GÖTALANDS LÄN</t>
        </is>
      </c>
      <c r="G488" t="inlineStr">
        <is>
          <t>MARK</t>
        </is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2135-2025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45672</v>
      </c>
      <c r="E489" s="1" t="n">
        <v>46326</v>
      </c>
      <c r="F489" t="inlineStr">
        <is>
          <t>VÄSTRA GÖTALANDS LÄN</t>
        </is>
      </c>
      <c r="G489" t="inlineStr">
        <is>
          <t>MARK</t>
        </is>
      </c>
      <c r="I489" t="n">
        <v>2.8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23819-2026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46165</v>
      </c>
      <c r="E490" s="1" t="n">
        <v>46326</v>
      </c>
      <c r="F490" t="inlineStr">
        <is>
          <t>VÄSTRA GÖTALANDS LÄN</t>
        </is>
      </c>
      <c r="G490" t="inlineStr">
        <is>
          <t>MARK</t>
        </is>
      </c>
      <c r="H490" t="inlineStr">
        <is>
          <t>Sveaskog</t>
        </is>
      </c>
      <c r="I490" t="n">
        <v>17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12368-2022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44637</v>
      </c>
      <c r="E491" s="1" t="n">
        <v>46326</v>
      </c>
      <c r="F491" t="inlineStr">
        <is>
          <t>VÄSTRA GÖTALANDS LÄN</t>
        </is>
      </c>
      <c r="G491" t="inlineStr">
        <is>
          <t>MARK</t>
        </is>
      </c>
      <c r="I491" t="n">
        <v>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53529-2023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45230</v>
      </c>
      <c r="E492" s="1" t="n">
        <v>46326</v>
      </c>
      <c r="F492" t="inlineStr">
        <is>
          <t>VÄSTRA GÖTALANDS LÄN</t>
        </is>
      </c>
      <c r="G492" t="inlineStr">
        <is>
          <t>MARK</t>
        </is>
      </c>
      <c r="I492" t="n">
        <v>7.5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49108-2023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45210</v>
      </c>
      <c r="E493" s="1" t="n">
        <v>46326</v>
      </c>
      <c r="F493" t="inlineStr">
        <is>
          <t>VÄSTRA GÖTALANDS LÄN</t>
        </is>
      </c>
      <c r="G493" t="inlineStr">
        <is>
          <t>MARK</t>
        </is>
      </c>
      <c r="I493" t="n">
        <v>1.3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51041-2023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45218</v>
      </c>
      <c r="E494" s="1" t="n">
        <v>46326</v>
      </c>
      <c r="F494" t="inlineStr">
        <is>
          <t>VÄSTRA GÖTALANDS LÄN</t>
        </is>
      </c>
      <c r="G494" t="inlineStr">
        <is>
          <t>MARK</t>
        </is>
      </c>
      <c r="I494" t="n">
        <v>0.9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47973-2023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45204</v>
      </c>
      <c r="E495" s="1" t="n">
        <v>46326</v>
      </c>
      <c r="F495" t="inlineStr">
        <is>
          <t>VÄSTRA GÖTALANDS LÄN</t>
        </is>
      </c>
      <c r="G495" t="inlineStr">
        <is>
          <t>MARK</t>
        </is>
      </c>
      <c r="I495" t="n">
        <v>0.5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55842-2023</t>
        </is>
      </c>
      <c r="B496" t="inlineStr">
        <is>
          <t>avverkningsanmälan</t>
        </is>
      </c>
      <c r="C496" t="inlineStr">
        <is>
          <t>Avverkning för annat ändamål</t>
        </is>
      </c>
      <c r="D496" s="1" t="n">
        <v>45233</v>
      </c>
      <c r="E496" s="1" t="n">
        <v>46326</v>
      </c>
      <c r="F496" t="inlineStr">
        <is>
          <t>VÄSTRA GÖTALANDS LÄN</t>
        </is>
      </c>
      <c r="G496" t="inlineStr">
        <is>
          <t>MARK</t>
        </is>
      </c>
      <c r="H496" t="inlineStr">
        <is>
          <t>Sveaskog</t>
        </is>
      </c>
      <c r="I496" t="n">
        <v>3.9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54374-2023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45233</v>
      </c>
      <c r="E497" s="1" t="n">
        <v>46326</v>
      </c>
      <c r="F497" t="inlineStr">
        <is>
          <t>VÄSTRA GÖTALANDS LÄN</t>
        </is>
      </c>
      <c r="G497" t="inlineStr">
        <is>
          <t>MARK</t>
        </is>
      </c>
      <c r="I497" t="n">
        <v>3.7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20613-2025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45776</v>
      </c>
      <c r="E498" s="1" t="n">
        <v>46326</v>
      </c>
      <c r="F498" t="inlineStr">
        <is>
          <t>VÄSTRA GÖTALANDS LÄN</t>
        </is>
      </c>
      <c r="G498" t="inlineStr">
        <is>
          <t>MARK</t>
        </is>
      </c>
      <c r="I498" t="n">
        <v>5.3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29665-2023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45107</v>
      </c>
      <c r="E499" s="1" t="n">
        <v>46326</v>
      </c>
      <c r="F499" t="inlineStr">
        <is>
          <t>VÄSTRA GÖTALANDS LÄN</t>
        </is>
      </c>
      <c r="G499" t="inlineStr">
        <is>
          <t>MARK</t>
        </is>
      </c>
      <c r="I499" t="n">
        <v>0.9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24298-2026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46169</v>
      </c>
      <c r="E500" s="1" t="n">
        <v>46326</v>
      </c>
      <c r="F500" t="inlineStr">
        <is>
          <t>VÄSTRA GÖTALANDS LÄN</t>
        </is>
      </c>
      <c r="G500" t="inlineStr">
        <is>
          <t>MARK</t>
        </is>
      </c>
      <c r="I500" t="n">
        <v>6.6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52700-2023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45225</v>
      </c>
      <c r="E501" s="1" t="n">
        <v>46326</v>
      </c>
      <c r="F501" t="inlineStr">
        <is>
          <t>VÄSTRA GÖTALANDS LÄN</t>
        </is>
      </c>
      <c r="G501" t="inlineStr">
        <is>
          <t>MARK</t>
        </is>
      </c>
      <c r="I501" t="n">
        <v>1.8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12330-2024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45378</v>
      </c>
      <c r="E502" s="1" t="n">
        <v>46326</v>
      </c>
      <c r="F502" t="inlineStr">
        <is>
          <t>VÄSTRA GÖTALANDS LÄN</t>
        </is>
      </c>
      <c r="G502" t="inlineStr">
        <is>
          <t>MARK</t>
        </is>
      </c>
      <c r="I502" t="n">
        <v>2.3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34073-2024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45523</v>
      </c>
      <c r="E503" s="1" t="n">
        <v>46326</v>
      </c>
      <c r="F503" t="inlineStr">
        <is>
          <t>VÄSTRA GÖTALANDS LÄN</t>
        </is>
      </c>
      <c r="G503" t="inlineStr">
        <is>
          <t>MARK</t>
        </is>
      </c>
      <c r="I503" t="n">
        <v>1.5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38780-2022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44813</v>
      </c>
      <c r="E504" s="1" t="n">
        <v>46326</v>
      </c>
      <c r="F504" t="inlineStr">
        <is>
          <t>VÄSTRA GÖTALANDS LÄN</t>
        </is>
      </c>
      <c r="G504" t="inlineStr">
        <is>
          <t>MARK</t>
        </is>
      </c>
      <c r="I504" t="n">
        <v>3.5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69264-2021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44531</v>
      </c>
      <c r="E505" s="1" t="n">
        <v>46326</v>
      </c>
      <c r="F505" t="inlineStr">
        <is>
          <t>VÄSTRA GÖTALANDS LÄN</t>
        </is>
      </c>
      <c r="G505" t="inlineStr">
        <is>
          <t>MARK</t>
        </is>
      </c>
      <c r="I505" t="n">
        <v>1.5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59605-2023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45254</v>
      </c>
      <c r="E506" s="1" t="n">
        <v>46326</v>
      </c>
      <c r="F506" t="inlineStr">
        <is>
          <t>VÄSTRA GÖTALANDS LÄN</t>
        </is>
      </c>
      <c r="G506" t="inlineStr">
        <is>
          <t>MARK</t>
        </is>
      </c>
      <c r="I506" t="n">
        <v>2.9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26241-2026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46182</v>
      </c>
      <c r="E507" s="1" t="n">
        <v>46326</v>
      </c>
      <c r="F507" t="inlineStr">
        <is>
          <t>VÄSTRA GÖTALANDS LÄN</t>
        </is>
      </c>
      <c r="G507" t="inlineStr">
        <is>
          <t>MARK</t>
        </is>
      </c>
      <c r="I507" t="n">
        <v>6.4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25969-2026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46181</v>
      </c>
      <c r="E508" s="1" t="n">
        <v>46326</v>
      </c>
      <c r="F508" t="inlineStr">
        <is>
          <t>VÄSTRA GÖTALANDS LÄN</t>
        </is>
      </c>
      <c r="G508" t="inlineStr">
        <is>
          <t>MARK</t>
        </is>
      </c>
      <c r="I508" t="n">
        <v>2.9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11653-2023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44994</v>
      </c>
      <c r="E509" s="1" t="n">
        <v>46326</v>
      </c>
      <c r="F509" t="inlineStr">
        <is>
          <t>VÄSTRA GÖTALANDS LÄN</t>
        </is>
      </c>
      <c r="G509" t="inlineStr">
        <is>
          <t>MARK</t>
        </is>
      </c>
      <c r="I509" t="n">
        <v>1.2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11518-2024</t>
        </is>
      </c>
      <c r="B510" t="inlineStr">
        <is>
          <t>avverkningsanmälan</t>
        </is>
      </c>
      <c r="C510" t="inlineStr">
        <is>
          <t>Avverkning för annat ändamål</t>
        </is>
      </c>
      <c r="D510" s="1" t="n">
        <v>45373</v>
      </c>
      <c r="E510" s="1" t="n">
        <v>46326</v>
      </c>
      <c r="F510" t="inlineStr">
        <is>
          <t>VÄSTRA GÖTALANDS LÄN</t>
        </is>
      </c>
      <c r="G510" t="inlineStr">
        <is>
          <t>MARK</t>
        </is>
      </c>
      <c r="I510" t="n">
        <v>0.6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22246-2023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45070</v>
      </c>
      <c r="E511" s="1" t="n">
        <v>46326</v>
      </c>
      <c r="F511" t="inlineStr">
        <is>
          <t>VÄSTRA GÖTALANDS LÄN</t>
        </is>
      </c>
      <c r="G511" t="inlineStr">
        <is>
          <t>MARK</t>
        </is>
      </c>
      <c r="I511" t="n">
        <v>0.9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61269-2023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45264</v>
      </c>
      <c r="E512" s="1" t="n">
        <v>46326</v>
      </c>
      <c r="F512" t="inlineStr">
        <is>
          <t>VÄSTRA GÖTALANDS LÄN</t>
        </is>
      </c>
      <c r="G512" t="inlineStr">
        <is>
          <t>MARK</t>
        </is>
      </c>
      <c r="I512" t="n">
        <v>0.6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4143-2022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44588</v>
      </c>
      <c r="E513" s="1" t="n">
        <v>46326</v>
      </c>
      <c r="F513" t="inlineStr">
        <is>
          <t>VÄSTRA GÖTALANDS LÄN</t>
        </is>
      </c>
      <c r="G513" t="inlineStr">
        <is>
          <t>MARK</t>
        </is>
      </c>
      <c r="I513" t="n">
        <v>1.4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10910-2024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45370</v>
      </c>
      <c r="E514" s="1" t="n">
        <v>46326</v>
      </c>
      <c r="F514" t="inlineStr">
        <is>
          <t>VÄSTRA GÖTALANDS LÄN</t>
        </is>
      </c>
      <c r="G514" t="inlineStr">
        <is>
          <t>MARK</t>
        </is>
      </c>
      <c r="I514" t="n">
        <v>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8372-2024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45352</v>
      </c>
      <c r="E515" s="1" t="n">
        <v>46326</v>
      </c>
      <c r="F515" t="inlineStr">
        <is>
          <t>VÄSTRA GÖTALANDS LÄN</t>
        </is>
      </c>
      <c r="G515" t="inlineStr">
        <is>
          <t>MARK</t>
        </is>
      </c>
      <c r="I515" t="n">
        <v>3.4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57605-2022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44897</v>
      </c>
      <c r="E516" s="1" t="n">
        <v>46326</v>
      </c>
      <c r="F516" t="inlineStr">
        <is>
          <t>VÄSTRA GÖTALANDS LÄN</t>
        </is>
      </c>
      <c r="G516" t="inlineStr">
        <is>
          <t>MARK</t>
        </is>
      </c>
      <c r="I516" t="n">
        <v>2.4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47448-2023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45202</v>
      </c>
      <c r="E517" s="1" t="n">
        <v>46326</v>
      </c>
      <c r="F517" t="inlineStr">
        <is>
          <t>VÄSTRA GÖTALANDS LÄN</t>
        </is>
      </c>
      <c r="G517" t="inlineStr">
        <is>
          <t>MARK</t>
        </is>
      </c>
      <c r="I517" t="n">
        <v>0.7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54226-2022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44881</v>
      </c>
      <c r="E518" s="1" t="n">
        <v>46326</v>
      </c>
      <c r="F518" t="inlineStr">
        <is>
          <t>VÄSTRA GÖTALANDS LÄN</t>
        </is>
      </c>
      <c r="G518" t="inlineStr">
        <is>
          <t>MARK</t>
        </is>
      </c>
      <c r="I518" t="n">
        <v>1.6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37455-2023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45156</v>
      </c>
      <c r="E519" s="1" t="n">
        <v>46326</v>
      </c>
      <c r="F519" t="inlineStr">
        <is>
          <t>VÄSTRA GÖTALANDS LÄN</t>
        </is>
      </c>
      <c r="G519" t="inlineStr">
        <is>
          <t>MARK</t>
        </is>
      </c>
      <c r="I519" t="n">
        <v>3.7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27675-2026</t>
        </is>
      </c>
      <c r="B520" t="inlineStr">
        <is>
          <t>avverkningsanmälan</t>
        </is>
      </c>
      <c r="C520" t="inlineStr">
        <is>
          <t>Avverkning för att bevara och utveckla /försöksver</t>
        </is>
      </c>
      <c r="D520" s="1" t="n">
        <v>46190</v>
      </c>
      <c r="E520" s="1" t="n">
        <v>46326</v>
      </c>
      <c r="F520" t="inlineStr">
        <is>
          <t>VÄSTRA GÖTALANDS LÄN</t>
        </is>
      </c>
      <c r="G520" t="inlineStr">
        <is>
          <t>MARK</t>
        </is>
      </c>
      <c r="I520" t="n">
        <v>1.2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27451-2026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46189</v>
      </c>
      <c r="E521" s="1" t="n">
        <v>46326</v>
      </c>
      <c r="F521" t="inlineStr">
        <is>
          <t>VÄSTRA GÖTALANDS LÄN</t>
        </is>
      </c>
      <c r="G521" t="inlineStr">
        <is>
          <t>MARK</t>
        </is>
      </c>
      <c r="I521" t="n">
        <v>1.3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10669-2024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45369</v>
      </c>
      <c r="E522" s="1" t="n">
        <v>46326</v>
      </c>
      <c r="F522" t="inlineStr">
        <is>
          <t>VÄSTRA GÖTALANDS LÄN</t>
        </is>
      </c>
      <c r="G522" t="inlineStr">
        <is>
          <t>MARK</t>
        </is>
      </c>
      <c r="I522" t="n">
        <v>1.1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16710-2022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44673</v>
      </c>
      <c r="E523" s="1" t="n">
        <v>46326</v>
      </c>
      <c r="F523" t="inlineStr">
        <is>
          <t>VÄSTRA GÖTALANDS LÄN</t>
        </is>
      </c>
      <c r="G523" t="inlineStr">
        <is>
          <t>MARK</t>
        </is>
      </c>
      <c r="I523" t="n">
        <v>9.1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57411-2024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45629</v>
      </c>
      <c r="E524" s="1" t="n">
        <v>46326</v>
      </c>
      <c r="F524" t="inlineStr">
        <is>
          <t>VÄSTRA GÖTALANDS LÄN</t>
        </is>
      </c>
      <c r="G524" t="inlineStr">
        <is>
          <t>MARK</t>
        </is>
      </c>
      <c r="I524" t="n">
        <v>1.8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64740-2023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45281</v>
      </c>
      <c r="E525" s="1" t="n">
        <v>46326</v>
      </c>
      <c r="F525" t="inlineStr">
        <is>
          <t>VÄSTRA GÖTALANDS LÄN</t>
        </is>
      </c>
      <c r="G525" t="inlineStr">
        <is>
          <t>MARK</t>
        </is>
      </c>
      <c r="I525" t="n">
        <v>1.9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27927-2026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46191</v>
      </c>
      <c r="E526" s="1" t="n">
        <v>46326</v>
      </c>
      <c r="F526" t="inlineStr">
        <is>
          <t>VÄSTRA GÖTALANDS LÄN</t>
        </is>
      </c>
      <c r="G526" t="inlineStr">
        <is>
          <t>MARK</t>
        </is>
      </c>
      <c r="I526" t="n">
        <v>2.3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9251-2024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45358</v>
      </c>
      <c r="E527" s="1" t="n">
        <v>46326</v>
      </c>
      <c r="F527" t="inlineStr">
        <is>
          <t>VÄSTRA GÖTALANDS LÄN</t>
        </is>
      </c>
      <c r="G527" t="inlineStr">
        <is>
          <t>MARK</t>
        </is>
      </c>
      <c r="I527" t="n">
        <v>0.4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28014-2026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46195</v>
      </c>
      <c r="E528" s="1" t="n">
        <v>46326</v>
      </c>
      <c r="F528" t="inlineStr">
        <is>
          <t>VÄSTRA GÖTALANDS LÄN</t>
        </is>
      </c>
      <c r="G528" t="inlineStr">
        <is>
          <t>MARK</t>
        </is>
      </c>
      <c r="I528" t="n">
        <v>0.5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33899-2023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45134</v>
      </c>
      <c r="E529" s="1" t="n">
        <v>46326</v>
      </c>
      <c r="F529" t="inlineStr">
        <is>
          <t>VÄSTRA GÖTALANDS LÄN</t>
        </is>
      </c>
      <c r="G529" t="inlineStr">
        <is>
          <t>MARK</t>
        </is>
      </c>
      <c r="I529" t="n">
        <v>1.2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28285-2023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45099</v>
      </c>
      <c r="E530" s="1" t="n">
        <v>46326</v>
      </c>
      <c r="F530" t="inlineStr">
        <is>
          <t>VÄSTRA GÖTALANDS LÄN</t>
        </is>
      </c>
      <c r="G530" t="inlineStr">
        <is>
          <t>MARK</t>
        </is>
      </c>
      <c r="I530" t="n">
        <v>4.2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28074-2026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46195</v>
      </c>
      <c r="E531" s="1" t="n">
        <v>46326</v>
      </c>
      <c r="F531" t="inlineStr">
        <is>
          <t>VÄSTRA GÖTALANDS LÄN</t>
        </is>
      </c>
      <c r="G531" t="inlineStr">
        <is>
          <t>MARK</t>
        </is>
      </c>
      <c r="I531" t="n">
        <v>0.9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28086-2026</t>
        </is>
      </c>
      <c r="B532" t="inlineStr">
        <is>
          <t>avverkningsanmälan</t>
        </is>
      </c>
      <c r="C532" t="inlineStr">
        <is>
          <t>Avverkning för att bevara och utveckla /försöksver</t>
        </is>
      </c>
      <c r="D532" s="1" t="n">
        <v>46195</v>
      </c>
      <c r="E532" s="1" t="n">
        <v>46326</v>
      </c>
      <c r="F532" t="inlineStr">
        <is>
          <t>VÄSTRA GÖTALANDS LÄN</t>
        </is>
      </c>
      <c r="G532" t="inlineStr">
        <is>
          <t>MARK</t>
        </is>
      </c>
      <c r="I532" t="n">
        <v>1.1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27471-2024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45474</v>
      </c>
      <c r="E533" s="1" t="n">
        <v>46326</v>
      </c>
      <c r="F533" t="inlineStr">
        <is>
          <t>VÄSTRA GÖTALANDS LÄN</t>
        </is>
      </c>
      <c r="G533" t="inlineStr">
        <is>
          <t>MARK</t>
        </is>
      </c>
      <c r="H533" t="inlineStr">
        <is>
          <t>Kommuner</t>
        </is>
      </c>
      <c r="I533" t="n">
        <v>0.3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43750-2024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45569</v>
      </c>
      <c r="E534" s="1" t="n">
        <v>46326</v>
      </c>
      <c r="F534" t="inlineStr">
        <is>
          <t>VÄSTRA GÖTALANDS LÄN</t>
        </is>
      </c>
      <c r="G534" t="inlineStr">
        <is>
          <t>MARK</t>
        </is>
      </c>
      <c r="I534" t="n">
        <v>1.2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28020-2026</t>
        </is>
      </c>
      <c r="B535" t="inlineStr">
        <is>
          <t>avverkningsanmälan</t>
        </is>
      </c>
      <c r="C535" t="inlineStr">
        <is>
          <t>Avverkning för att bevara och utveckla /försöksver</t>
        </is>
      </c>
      <c r="D535" s="1" t="n">
        <v>46195</v>
      </c>
      <c r="E535" s="1" t="n">
        <v>46326</v>
      </c>
      <c r="F535" t="inlineStr">
        <is>
          <t>VÄSTRA GÖTALANDS LÄN</t>
        </is>
      </c>
      <c r="G535" t="inlineStr">
        <is>
          <t>MARK</t>
        </is>
      </c>
      <c r="I535" t="n">
        <v>0.2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28125-2026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46195</v>
      </c>
      <c r="E536" s="1" t="n">
        <v>46326</v>
      </c>
      <c r="F536" t="inlineStr">
        <is>
          <t>VÄSTRA GÖTALANDS LÄN</t>
        </is>
      </c>
      <c r="G536" t="inlineStr">
        <is>
          <t>MARK</t>
        </is>
      </c>
      <c r="I536" t="n">
        <v>0.8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28172-2026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46195</v>
      </c>
      <c r="E537" s="1" t="n">
        <v>46326</v>
      </c>
      <c r="F537" t="inlineStr">
        <is>
          <t>VÄSTRA GÖTALANDS LÄN</t>
        </is>
      </c>
      <c r="G537" t="inlineStr">
        <is>
          <t>MARK</t>
        </is>
      </c>
      <c r="I537" t="n">
        <v>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17499-2024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45415</v>
      </c>
      <c r="E538" s="1" t="n">
        <v>46326</v>
      </c>
      <c r="F538" t="inlineStr">
        <is>
          <t>VÄSTRA GÖTALANDS LÄN</t>
        </is>
      </c>
      <c r="G538" t="inlineStr">
        <is>
          <t>MARK</t>
        </is>
      </c>
      <c r="I538" t="n">
        <v>0.5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61417-2023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45264</v>
      </c>
      <c r="E539" s="1" t="n">
        <v>46326</v>
      </c>
      <c r="F539" t="inlineStr">
        <is>
          <t>VÄSTRA GÖTALANDS LÄN</t>
        </is>
      </c>
      <c r="G539" t="inlineStr">
        <is>
          <t>MARK</t>
        </is>
      </c>
      <c r="I539" t="n">
        <v>1.4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44249-2023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45188</v>
      </c>
      <c r="E540" s="1" t="n">
        <v>46326</v>
      </c>
      <c r="F540" t="inlineStr">
        <is>
          <t>VÄSTRA GÖTALANDS LÄN</t>
        </is>
      </c>
      <c r="G540" t="inlineStr">
        <is>
          <t>MARK</t>
        </is>
      </c>
      <c r="I540" t="n">
        <v>0.8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29058-2026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46199</v>
      </c>
      <c r="E541" s="1" t="n">
        <v>46326</v>
      </c>
      <c r="F541" t="inlineStr">
        <is>
          <t>VÄSTRA GÖTALANDS LÄN</t>
        </is>
      </c>
      <c r="G541" t="inlineStr">
        <is>
          <t>MARK</t>
        </is>
      </c>
      <c r="H541" t="inlineStr">
        <is>
          <t>Kommuner</t>
        </is>
      </c>
      <c r="I541" t="n">
        <v>3.1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26945-2023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45093</v>
      </c>
      <c r="E542" s="1" t="n">
        <v>46326</v>
      </c>
      <c r="F542" t="inlineStr">
        <is>
          <t>VÄSTRA GÖTALANDS LÄN</t>
        </is>
      </c>
      <c r="G542" t="inlineStr">
        <is>
          <t>MARK</t>
        </is>
      </c>
      <c r="I542" t="n">
        <v>0.7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4360-2022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44589</v>
      </c>
      <c r="E543" s="1" t="n">
        <v>46326</v>
      </c>
      <c r="F543" t="inlineStr">
        <is>
          <t>VÄSTRA GÖTALANDS LÄN</t>
        </is>
      </c>
      <c r="G543" t="inlineStr">
        <is>
          <t>MARK</t>
        </is>
      </c>
      <c r="I543" t="n">
        <v>4.3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16716-2023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45030</v>
      </c>
      <c r="E544" s="1" t="n">
        <v>46326</v>
      </c>
      <c r="F544" t="inlineStr">
        <is>
          <t>VÄSTRA GÖTALANDS LÄN</t>
        </is>
      </c>
      <c r="G544" t="inlineStr">
        <is>
          <t>MARK</t>
        </is>
      </c>
      <c r="I544" t="n">
        <v>3.1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12422-2024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45379</v>
      </c>
      <c r="E545" s="1" t="n">
        <v>46326</v>
      </c>
      <c r="F545" t="inlineStr">
        <is>
          <t>VÄSTRA GÖTALANDS LÄN</t>
        </is>
      </c>
      <c r="G545" t="inlineStr">
        <is>
          <t>MARK</t>
        </is>
      </c>
      <c r="I545" t="n">
        <v>0.8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27691-2024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45475</v>
      </c>
      <c r="E546" s="1" t="n">
        <v>46326</v>
      </c>
      <c r="F546" t="inlineStr">
        <is>
          <t>VÄSTRA GÖTALANDS LÄN</t>
        </is>
      </c>
      <c r="G546" t="inlineStr">
        <is>
          <t>MARK</t>
        </is>
      </c>
      <c r="I546" t="n">
        <v>3.7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14426-2022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44652</v>
      </c>
      <c r="E547" s="1" t="n">
        <v>46326</v>
      </c>
      <c r="F547" t="inlineStr">
        <is>
          <t>VÄSTRA GÖTALANDS LÄN</t>
        </is>
      </c>
      <c r="G547" t="inlineStr">
        <is>
          <t>MARK</t>
        </is>
      </c>
      <c r="I547" t="n">
        <v>0.9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63365-2023</t>
        </is>
      </c>
      <c r="B548" t="inlineStr">
        <is>
          <t>avverkningsanmälan</t>
        </is>
      </c>
      <c r="C548" t="inlineStr">
        <is>
          <t>Avverkning för annat ändamål</t>
        </is>
      </c>
      <c r="D548" s="1" t="n">
        <v>45274</v>
      </c>
      <c r="E548" s="1" t="n">
        <v>46326</v>
      </c>
      <c r="F548" t="inlineStr">
        <is>
          <t>VÄSTRA GÖTALANDS LÄN</t>
        </is>
      </c>
      <c r="G548" t="inlineStr">
        <is>
          <t>MARK</t>
        </is>
      </c>
      <c r="I548" t="n">
        <v>0.8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10890-2024</t>
        </is>
      </c>
      <c r="B549" t="inlineStr">
        <is>
          <t>avverkningsanmälan</t>
        </is>
      </c>
      <c r="C549" t="inlineStr">
        <is>
          <t>Avverkning för annat ändamål</t>
        </is>
      </c>
      <c r="D549" s="1" t="n">
        <v>45370</v>
      </c>
      <c r="E549" s="1" t="n">
        <v>46326</v>
      </c>
      <c r="F549" t="inlineStr">
        <is>
          <t>VÄSTRA GÖTALANDS LÄN</t>
        </is>
      </c>
      <c r="G549" t="inlineStr">
        <is>
          <t>MARK</t>
        </is>
      </c>
      <c r="I549" t="n">
        <v>9.6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29507-2026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46203</v>
      </c>
      <c r="E550" s="1" t="n">
        <v>46326</v>
      </c>
      <c r="F550" t="inlineStr">
        <is>
          <t>VÄSTRA GÖTALANDS LÄN</t>
        </is>
      </c>
      <c r="G550" t="inlineStr">
        <is>
          <t>MARK</t>
        </is>
      </c>
      <c r="I550" t="n">
        <v>0.7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55689-2022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44888</v>
      </c>
      <c r="E551" s="1" t="n">
        <v>46326</v>
      </c>
      <c r="F551" t="inlineStr">
        <is>
          <t>VÄSTRA GÖTALANDS LÄN</t>
        </is>
      </c>
      <c r="G551" t="inlineStr">
        <is>
          <t>MARK</t>
        </is>
      </c>
      <c r="I551" t="n">
        <v>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26529-2023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45092</v>
      </c>
      <c r="E552" s="1" t="n">
        <v>46326</v>
      </c>
      <c r="F552" t="inlineStr">
        <is>
          <t>VÄSTRA GÖTALANDS LÄN</t>
        </is>
      </c>
      <c r="G552" t="inlineStr">
        <is>
          <t>MARK</t>
        </is>
      </c>
      <c r="I552" t="n">
        <v>1.8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9496-2024</t>
        </is>
      </c>
      <c r="B553" t="inlineStr">
        <is>
          <t>avverkningsanmälan</t>
        </is>
      </c>
      <c r="C553" t="inlineStr">
        <is>
          <t>Avverkning för annat ändamål</t>
        </is>
      </c>
      <c r="D553" s="1" t="n">
        <v>45359</v>
      </c>
      <c r="E553" s="1" t="n">
        <v>46326</v>
      </c>
      <c r="F553" t="inlineStr">
        <is>
          <t>VÄSTRA GÖTALANDS LÄN</t>
        </is>
      </c>
      <c r="G553" t="inlineStr">
        <is>
          <t>MARK</t>
        </is>
      </c>
      <c r="I553" t="n">
        <v>2.8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9504-2024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45359</v>
      </c>
      <c r="E554" s="1" t="n">
        <v>46326</v>
      </c>
      <c r="F554" t="inlineStr">
        <is>
          <t>VÄSTRA GÖTALANDS LÄN</t>
        </is>
      </c>
      <c r="G554" t="inlineStr">
        <is>
          <t>MARK</t>
        </is>
      </c>
      <c r="I554" t="n">
        <v>9.199999999999999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18589-2025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45763</v>
      </c>
      <c r="E555" s="1" t="n">
        <v>46326</v>
      </c>
      <c r="F555" t="inlineStr">
        <is>
          <t>VÄSTRA GÖTALANDS LÄN</t>
        </is>
      </c>
      <c r="G555" t="inlineStr">
        <is>
          <t>MARK</t>
        </is>
      </c>
      <c r="I555" t="n">
        <v>1.9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18593-2025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45763</v>
      </c>
      <c r="E556" s="1" t="n">
        <v>46326</v>
      </c>
      <c r="F556" t="inlineStr">
        <is>
          <t>VÄSTRA GÖTALANDS LÄN</t>
        </is>
      </c>
      <c r="G556" t="inlineStr">
        <is>
          <t>MARK</t>
        </is>
      </c>
      <c r="I556" t="n">
        <v>2.9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29722-2026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46204</v>
      </c>
      <c r="E557" s="1" t="n">
        <v>46326</v>
      </c>
      <c r="F557" t="inlineStr">
        <is>
          <t>VÄSTRA GÖTALANDS LÄN</t>
        </is>
      </c>
      <c r="G557" t="inlineStr">
        <is>
          <t>MARK</t>
        </is>
      </c>
      <c r="I557" t="n">
        <v>2.6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18600-2025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45763</v>
      </c>
      <c r="E558" s="1" t="n">
        <v>46326</v>
      </c>
      <c r="F558" t="inlineStr">
        <is>
          <t>VÄSTRA GÖTALANDS LÄN</t>
        </is>
      </c>
      <c r="G558" t="inlineStr">
        <is>
          <t>MARK</t>
        </is>
      </c>
      <c r="I558" t="n">
        <v>1.4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30277-2024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45490</v>
      </c>
      <c r="E559" s="1" t="n">
        <v>46326</v>
      </c>
      <c r="F559" t="inlineStr">
        <is>
          <t>VÄSTRA GÖTALANDS LÄN</t>
        </is>
      </c>
      <c r="G559" t="inlineStr">
        <is>
          <t>MARK</t>
        </is>
      </c>
      <c r="I559" t="n">
        <v>0.9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23634-2023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45077</v>
      </c>
      <c r="E560" s="1" t="n">
        <v>46326</v>
      </c>
      <c r="F560" t="inlineStr">
        <is>
          <t>VÄSTRA GÖTALANDS LÄN</t>
        </is>
      </c>
      <c r="G560" t="inlineStr">
        <is>
          <t>MARK</t>
        </is>
      </c>
      <c r="I560" t="n">
        <v>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36305-2024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45534</v>
      </c>
      <c r="E561" s="1" t="n">
        <v>46326</v>
      </c>
      <c r="F561" t="inlineStr">
        <is>
          <t>VÄSTRA GÖTALANDS LÄN</t>
        </is>
      </c>
      <c r="G561" t="inlineStr">
        <is>
          <t>MARK</t>
        </is>
      </c>
      <c r="I561" t="n">
        <v>0.9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62573-2022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44924</v>
      </c>
      <c r="E562" s="1" t="n">
        <v>46326</v>
      </c>
      <c r="F562" t="inlineStr">
        <is>
          <t>VÄSTRA GÖTALANDS LÄN</t>
        </is>
      </c>
      <c r="G562" t="inlineStr">
        <is>
          <t>MARK</t>
        </is>
      </c>
      <c r="I562" t="n">
        <v>2.3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57896-2024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45631</v>
      </c>
      <c r="E563" s="1" t="n">
        <v>46326</v>
      </c>
      <c r="F563" t="inlineStr">
        <is>
          <t>VÄSTRA GÖTALANDS LÄN</t>
        </is>
      </c>
      <c r="G563" t="inlineStr">
        <is>
          <t>MARK</t>
        </is>
      </c>
      <c r="I563" t="n">
        <v>0.6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59156-2023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45251</v>
      </c>
      <c r="E564" s="1" t="n">
        <v>46326</v>
      </c>
      <c r="F564" t="inlineStr">
        <is>
          <t>VÄSTRA GÖTALANDS LÄN</t>
        </is>
      </c>
      <c r="G564" t="inlineStr">
        <is>
          <t>MARK</t>
        </is>
      </c>
      <c r="I564" t="n">
        <v>0.7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32182-2023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45119</v>
      </c>
      <c r="E565" s="1" t="n">
        <v>46326</v>
      </c>
      <c r="F565" t="inlineStr">
        <is>
          <t>VÄSTRA GÖTALANDS LÄN</t>
        </is>
      </c>
      <c r="G565" t="inlineStr">
        <is>
          <t>MARK</t>
        </is>
      </c>
      <c r="I565" t="n">
        <v>0.7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42542-2024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45565</v>
      </c>
      <c r="E566" s="1" t="n">
        <v>46326</v>
      </c>
      <c r="F566" t="inlineStr">
        <is>
          <t>VÄSTRA GÖTALANDS LÄN</t>
        </is>
      </c>
      <c r="G566" t="inlineStr">
        <is>
          <t>MARK</t>
        </is>
      </c>
      <c r="I566" t="n">
        <v>0.6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5465-2024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45332</v>
      </c>
      <c r="E567" s="1" t="n">
        <v>46326</v>
      </c>
      <c r="F567" t="inlineStr">
        <is>
          <t>VÄSTRA GÖTALANDS LÄN</t>
        </is>
      </c>
      <c r="G567" t="inlineStr">
        <is>
          <t>MARK</t>
        </is>
      </c>
      <c r="I567" t="n">
        <v>1.2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49282-2023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45210</v>
      </c>
      <c r="E568" s="1" t="n">
        <v>46326</v>
      </c>
      <c r="F568" t="inlineStr">
        <is>
          <t>VÄSTRA GÖTALANDS LÄN</t>
        </is>
      </c>
      <c r="G568" t="inlineStr">
        <is>
          <t>MARK</t>
        </is>
      </c>
      <c r="I568" t="n">
        <v>0.6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57766-2022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44897</v>
      </c>
      <c r="E569" s="1" t="n">
        <v>46326</v>
      </c>
      <c r="F569" t="inlineStr">
        <is>
          <t>VÄSTRA GÖTALANDS LÄN</t>
        </is>
      </c>
      <c r="G569" t="inlineStr">
        <is>
          <t>MARK</t>
        </is>
      </c>
      <c r="I569" t="n">
        <v>0.6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52673-2023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45219</v>
      </c>
      <c r="E570" s="1" t="n">
        <v>46326</v>
      </c>
      <c r="F570" t="inlineStr">
        <is>
          <t>VÄSTRA GÖTALANDS LÄN</t>
        </is>
      </c>
      <c r="G570" t="inlineStr">
        <is>
          <t>MARK</t>
        </is>
      </c>
      <c r="I570" t="n">
        <v>0.5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604-2024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45299</v>
      </c>
      <c r="E571" s="1" t="n">
        <v>46326</v>
      </c>
      <c r="F571" t="inlineStr">
        <is>
          <t>VÄSTRA GÖTALANDS LÄN</t>
        </is>
      </c>
      <c r="G571" t="inlineStr">
        <is>
          <t>MARK</t>
        </is>
      </c>
      <c r="I571" t="n">
        <v>0.5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30741-2026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46211</v>
      </c>
      <c r="E572" s="1" t="n">
        <v>46326</v>
      </c>
      <c r="F572" t="inlineStr">
        <is>
          <t>VÄSTRA GÖTALANDS LÄN</t>
        </is>
      </c>
      <c r="G572" t="inlineStr">
        <is>
          <t>MARK</t>
        </is>
      </c>
      <c r="I572" t="n">
        <v>5.8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30272-2024</t>
        </is>
      </c>
      <c r="B573" t="inlineStr">
        <is>
          <t>avverkningsanmälan</t>
        </is>
      </c>
      <c r="C573" t="inlineStr">
        <is>
          <t>Avverkning för annat ändamål</t>
        </is>
      </c>
      <c r="D573" s="1" t="n">
        <v>45490</v>
      </c>
      <c r="E573" s="1" t="n">
        <v>46326</v>
      </c>
      <c r="F573" t="inlineStr">
        <is>
          <t>VÄSTRA GÖTALANDS LÄN</t>
        </is>
      </c>
      <c r="G573" t="inlineStr">
        <is>
          <t>MARK</t>
        </is>
      </c>
      <c r="I573" t="n">
        <v>2.8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35728-2023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45147</v>
      </c>
      <c r="E574" s="1" t="n">
        <v>46326</v>
      </c>
      <c r="F574" t="inlineStr">
        <is>
          <t>VÄSTRA GÖTALANDS LÄN</t>
        </is>
      </c>
      <c r="G574" t="inlineStr">
        <is>
          <t>MARK</t>
        </is>
      </c>
      <c r="I574" t="n">
        <v>0.7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31069-2026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46216</v>
      </c>
      <c r="E575" s="1" t="n">
        <v>46326</v>
      </c>
      <c r="F575" t="inlineStr">
        <is>
          <t>VÄSTRA GÖTALANDS LÄN</t>
        </is>
      </c>
      <c r="G575" t="inlineStr">
        <is>
          <t>MARK</t>
        </is>
      </c>
      <c r="I575" t="n">
        <v>5.7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61010-2023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45261</v>
      </c>
      <c r="E576" s="1" t="n">
        <v>46326</v>
      </c>
      <c r="F576" t="inlineStr">
        <is>
          <t>VÄSTRA GÖTALANDS LÄN</t>
        </is>
      </c>
      <c r="G576" t="inlineStr">
        <is>
          <t>MARK</t>
        </is>
      </c>
      <c r="I576" t="n">
        <v>10.2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27409-2024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45474</v>
      </c>
      <c r="E577" s="1" t="n">
        <v>46326</v>
      </c>
      <c r="F577" t="inlineStr">
        <is>
          <t>VÄSTRA GÖTALANDS LÄN</t>
        </is>
      </c>
      <c r="G577" t="inlineStr">
        <is>
          <t>MARK</t>
        </is>
      </c>
      <c r="I577" t="n">
        <v>0.4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28009-2026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46195</v>
      </c>
      <c r="E578" s="1" t="n">
        <v>46326</v>
      </c>
      <c r="F578" t="inlineStr">
        <is>
          <t>VÄSTRA GÖTALANDS LÄN</t>
        </is>
      </c>
      <c r="G578" t="inlineStr">
        <is>
          <t>MARK</t>
        </is>
      </c>
      <c r="I578" t="n">
        <v>0.4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28000-2026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46195</v>
      </c>
      <c r="E579" s="1" t="n">
        <v>46326</v>
      </c>
      <c r="F579" t="inlineStr">
        <is>
          <t>VÄSTRA GÖTALANDS LÄN</t>
        </is>
      </c>
      <c r="G579" t="inlineStr">
        <is>
          <t>MARK</t>
        </is>
      </c>
      <c r="I579" t="n">
        <v>0.6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53026-2024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45611</v>
      </c>
      <c r="E580" s="1" t="n">
        <v>46326</v>
      </c>
      <c r="F580" t="inlineStr">
        <is>
          <t>VÄSTRA GÖTALANDS LÄN</t>
        </is>
      </c>
      <c r="G580" t="inlineStr">
        <is>
          <t>MARK</t>
        </is>
      </c>
      <c r="I580" t="n">
        <v>1.3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26852-2023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45093</v>
      </c>
      <c r="E581" s="1" t="n">
        <v>46326</v>
      </c>
      <c r="F581" t="inlineStr">
        <is>
          <t>VÄSTRA GÖTALANDS LÄN</t>
        </is>
      </c>
      <c r="G581" t="inlineStr">
        <is>
          <t>MARK</t>
        </is>
      </c>
      <c r="I581" t="n">
        <v>2.2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4800-2025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45688</v>
      </c>
      <c r="E582" s="1" t="n">
        <v>46326</v>
      </c>
      <c r="F582" t="inlineStr">
        <is>
          <t>VÄSTRA GÖTALANDS LÄN</t>
        </is>
      </c>
      <c r="G582" t="inlineStr">
        <is>
          <t>MARK</t>
        </is>
      </c>
      <c r="I582" t="n">
        <v>5.1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1322-2023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44936</v>
      </c>
      <c r="E583" s="1" t="n">
        <v>46326</v>
      </c>
      <c r="F583" t="inlineStr">
        <is>
          <t>VÄSTRA GÖTALANDS LÄN</t>
        </is>
      </c>
      <c r="G583" t="inlineStr">
        <is>
          <t>MARK</t>
        </is>
      </c>
      <c r="I583" t="n">
        <v>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7050-2022</t>
        </is>
      </c>
      <c r="B584" t="inlineStr">
        <is>
          <t>avverkningsanmälan</t>
        </is>
      </c>
      <c r="C584" t="inlineStr">
        <is>
          <t>Avverkning för annat ändamål</t>
        </is>
      </c>
      <c r="D584" s="1" t="n">
        <v>44603</v>
      </c>
      <c r="E584" s="1" t="n">
        <v>46326</v>
      </c>
      <c r="F584" t="inlineStr">
        <is>
          <t>VÄSTRA GÖTALANDS LÄN</t>
        </is>
      </c>
      <c r="G584" t="inlineStr">
        <is>
          <t>MARK</t>
        </is>
      </c>
      <c r="I584" t="n">
        <v>3.9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35726-2023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45147</v>
      </c>
      <c r="E585" s="1" t="n">
        <v>46326</v>
      </c>
      <c r="F585" t="inlineStr">
        <is>
          <t>VÄSTRA GÖTALANDS LÄN</t>
        </is>
      </c>
      <c r="G585" t="inlineStr">
        <is>
          <t>MARK</t>
        </is>
      </c>
      <c r="I585" t="n">
        <v>2.3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14139-2025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45740</v>
      </c>
      <c r="E586" s="1" t="n">
        <v>46326</v>
      </c>
      <c r="F586" t="inlineStr">
        <is>
          <t>VÄSTRA GÖTALANDS LÄN</t>
        </is>
      </c>
      <c r="G586" t="inlineStr">
        <is>
          <t>MARK</t>
        </is>
      </c>
      <c r="I586" t="n">
        <v>1.8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31905-2026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46231</v>
      </c>
      <c r="E587" s="1" t="n">
        <v>46326</v>
      </c>
      <c r="F587" t="inlineStr">
        <is>
          <t>VÄSTRA GÖTALANDS LÄN</t>
        </is>
      </c>
      <c r="G587" t="inlineStr">
        <is>
          <t>MARK</t>
        </is>
      </c>
      <c r="H587" t="inlineStr">
        <is>
          <t>Kyrkan</t>
        </is>
      </c>
      <c r="I587" t="n">
        <v>2.7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32025-2026</t>
        </is>
      </c>
      <c r="B588" t="inlineStr">
        <is>
          <t>avverkningsanmälan</t>
        </is>
      </c>
      <c r="C588" t="inlineStr">
        <is>
          <t>Avverkning för annat ändamål</t>
        </is>
      </c>
      <c r="D588" s="1" t="n">
        <v>46233</v>
      </c>
      <c r="E588" s="1" t="n">
        <v>46326</v>
      </c>
      <c r="F588" t="inlineStr">
        <is>
          <t>VÄSTRA GÖTALANDS LÄN</t>
        </is>
      </c>
      <c r="G588" t="inlineStr">
        <is>
          <t>MARK</t>
        </is>
      </c>
      <c r="I588" t="n">
        <v>1.4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23326-2022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44720</v>
      </c>
      <c r="E589" s="1" t="n">
        <v>46326</v>
      </c>
      <c r="F589" t="inlineStr">
        <is>
          <t>VÄSTRA GÖTALANDS LÄN</t>
        </is>
      </c>
      <c r="G589" t="inlineStr">
        <is>
          <t>MARK</t>
        </is>
      </c>
      <c r="I589" t="n">
        <v>1.7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2446-2022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44579</v>
      </c>
      <c r="E590" s="1" t="n">
        <v>46326</v>
      </c>
      <c r="F590" t="inlineStr">
        <is>
          <t>VÄSTRA GÖTALANDS LÄN</t>
        </is>
      </c>
      <c r="G590" t="inlineStr">
        <is>
          <t>MARK</t>
        </is>
      </c>
      <c r="H590" t="inlineStr">
        <is>
          <t>Kommuner</t>
        </is>
      </c>
      <c r="I590" t="n">
        <v>5.9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32024-2026</t>
        </is>
      </c>
      <c r="B591" t="inlineStr">
        <is>
          <t>avverkningsanmälan</t>
        </is>
      </c>
      <c r="C591" t="inlineStr">
        <is>
          <t>Avverkning för annat ändamål</t>
        </is>
      </c>
      <c r="D591" s="1" t="n">
        <v>46233</v>
      </c>
      <c r="E591" s="1" t="n">
        <v>46326</v>
      </c>
      <c r="F591" t="inlineStr">
        <is>
          <t>VÄSTRA GÖTALANDS LÄN</t>
        </is>
      </c>
      <c r="G591" t="inlineStr">
        <is>
          <t>MARK</t>
        </is>
      </c>
      <c r="I591" t="n">
        <v>0.9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31945-2026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46232</v>
      </c>
      <c r="E592" s="1" t="n">
        <v>46326</v>
      </c>
      <c r="F592" t="inlineStr">
        <is>
          <t>VÄSTRA GÖTALANDS LÄN</t>
        </is>
      </c>
      <c r="G592" t="inlineStr">
        <is>
          <t>MARK</t>
        </is>
      </c>
      <c r="H592" t="inlineStr">
        <is>
          <t>Kyrkan</t>
        </is>
      </c>
      <c r="I592" t="n">
        <v>0.7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8920-2023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44973</v>
      </c>
      <c r="E593" s="1" t="n">
        <v>46326</v>
      </c>
      <c r="F593" t="inlineStr">
        <is>
          <t>VÄSTRA GÖTALANDS LÄN</t>
        </is>
      </c>
      <c r="G593" t="inlineStr">
        <is>
          <t>MARK</t>
        </is>
      </c>
      <c r="I593" t="n">
        <v>0.4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32013-2026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46233</v>
      </c>
      <c r="E594" s="1" t="n">
        <v>46326</v>
      </c>
      <c r="F594" t="inlineStr">
        <is>
          <t>VÄSTRA GÖTALANDS LÄN</t>
        </is>
      </c>
      <c r="G594" t="inlineStr">
        <is>
          <t>MARK</t>
        </is>
      </c>
      <c r="I594" t="n">
        <v>2.2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27469-2024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45474</v>
      </c>
      <c r="E595" s="1" t="n">
        <v>46326</v>
      </c>
      <c r="F595" t="inlineStr">
        <is>
          <t>VÄSTRA GÖTALANDS LÄN</t>
        </is>
      </c>
      <c r="G595" t="inlineStr">
        <is>
          <t>MARK</t>
        </is>
      </c>
      <c r="H595" t="inlineStr">
        <is>
          <t>Kommuner</t>
        </is>
      </c>
      <c r="I595" t="n">
        <v>0.2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32026-2026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46233</v>
      </c>
      <c r="E596" s="1" t="n">
        <v>46326</v>
      </c>
      <c r="F596" t="inlineStr">
        <is>
          <t>VÄSTRA GÖTALANDS LÄN</t>
        </is>
      </c>
      <c r="G596" t="inlineStr">
        <is>
          <t>MARK</t>
        </is>
      </c>
      <c r="I596" t="n">
        <v>11.4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32240-2026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46237</v>
      </c>
      <c r="E597" s="1" t="n">
        <v>46326</v>
      </c>
      <c r="F597" t="inlineStr">
        <is>
          <t>VÄSTRA GÖTALANDS LÄN</t>
        </is>
      </c>
      <c r="G597" t="inlineStr">
        <is>
          <t>MARK</t>
        </is>
      </c>
      <c r="I597" t="n">
        <v>0.4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7134-2022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44603</v>
      </c>
      <c r="E598" s="1" t="n">
        <v>46326</v>
      </c>
      <c r="F598" t="inlineStr">
        <is>
          <t>VÄSTRA GÖTALANDS LÄN</t>
        </is>
      </c>
      <c r="G598" t="inlineStr">
        <is>
          <t>MARK</t>
        </is>
      </c>
      <c r="I598" t="n">
        <v>1.7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1643-2024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45306</v>
      </c>
      <c r="E599" s="1" t="n">
        <v>46326</v>
      </c>
      <c r="F599" t="inlineStr">
        <is>
          <t>VÄSTRA GÖTALANDS LÄN</t>
        </is>
      </c>
      <c r="G599" t="inlineStr">
        <is>
          <t>MARK</t>
        </is>
      </c>
      <c r="I599" t="n">
        <v>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5739-2022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44596</v>
      </c>
      <c r="E600" s="1" t="n">
        <v>46326</v>
      </c>
      <c r="F600" t="inlineStr">
        <is>
          <t>VÄSTRA GÖTALANDS LÄN</t>
        </is>
      </c>
      <c r="G600" t="inlineStr">
        <is>
          <t>MARK</t>
        </is>
      </c>
      <c r="I600" t="n">
        <v>2.4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32238-2026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46237</v>
      </c>
      <c r="E601" s="1" t="n">
        <v>46326</v>
      </c>
      <c r="F601" t="inlineStr">
        <is>
          <t>VÄSTRA GÖTALANDS LÄN</t>
        </is>
      </c>
      <c r="G601" t="inlineStr">
        <is>
          <t>MARK</t>
        </is>
      </c>
      <c r="I601" t="n">
        <v>0.6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32241-2026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46237</v>
      </c>
      <c r="E602" s="1" t="n">
        <v>46326</v>
      </c>
      <c r="F602" t="inlineStr">
        <is>
          <t>VÄSTRA GÖTALANDS LÄN</t>
        </is>
      </c>
      <c r="G602" t="inlineStr">
        <is>
          <t>MARK</t>
        </is>
      </c>
      <c r="I602" t="n">
        <v>0.5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33807-2022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44790</v>
      </c>
      <c r="E603" s="1" t="n">
        <v>46326</v>
      </c>
      <c r="F603" t="inlineStr">
        <is>
          <t>VÄSTRA GÖTALANDS LÄN</t>
        </is>
      </c>
      <c r="G603" t="inlineStr">
        <is>
          <t>MARK</t>
        </is>
      </c>
      <c r="I603" t="n">
        <v>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61512-2024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45646</v>
      </c>
      <c r="E604" s="1" t="n">
        <v>46326</v>
      </c>
      <c r="F604" t="inlineStr">
        <is>
          <t>VÄSTRA GÖTALANDS LÄN</t>
        </is>
      </c>
      <c r="G604" t="inlineStr">
        <is>
          <t>MARK</t>
        </is>
      </c>
      <c r="I604" t="n">
        <v>0.9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11331-2023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44993</v>
      </c>
      <c r="E605" s="1" t="n">
        <v>46326</v>
      </c>
      <c r="F605" t="inlineStr">
        <is>
          <t>VÄSTRA GÖTALANDS LÄN</t>
        </is>
      </c>
      <c r="G605" t="inlineStr">
        <is>
          <t>MARK</t>
        </is>
      </c>
      <c r="I605" t="n">
        <v>1.3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43922-2024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45572</v>
      </c>
      <c r="E606" s="1" t="n">
        <v>46326</v>
      </c>
      <c r="F606" t="inlineStr">
        <is>
          <t>VÄSTRA GÖTALANDS LÄN</t>
        </is>
      </c>
      <c r="G606" t="inlineStr">
        <is>
          <t>MARK</t>
        </is>
      </c>
      <c r="I606" t="n">
        <v>2.7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12127-2024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45377</v>
      </c>
      <c r="E607" s="1" t="n">
        <v>46326</v>
      </c>
      <c r="F607" t="inlineStr">
        <is>
          <t>VÄSTRA GÖTALANDS LÄN</t>
        </is>
      </c>
      <c r="G607" t="inlineStr">
        <is>
          <t>MARK</t>
        </is>
      </c>
      <c r="H607" t="inlineStr">
        <is>
          <t>Kyrkan</t>
        </is>
      </c>
      <c r="I607" t="n">
        <v>6.9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59614-2023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45254</v>
      </c>
      <c r="E608" s="1" t="n">
        <v>46326</v>
      </c>
      <c r="F608" t="inlineStr">
        <is>
          <t>VÄSTRA GÖTALANDS LÄN</t>
        </is>
      </c>
      <c r="G608" t="inlineStr">
        <is>
          <t>MARK</t>
        </is>
      </c>
      <c r="I608" t="n">
        <v>0.6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38864-2026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46286</v>
      </c>
      <c r="E609" s="1" t="n">
        <v>46326</v>
      </c>
      <c r="F609" t="inlineStr">
        <is>
          <t>VÄSTRA GÖTALANDS LÄN</t>
        </is>
      </c>
      <c r="G609" t="inlineStr">
        <is>
          <t>MARK</t>
        </is>
      </c>
      <c r="I609" t="n">
        <v>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8977-2025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45713</v>
      </c>
      <c r="E610" s="1" t="n">
        <v>46326</v>
      </c>
      <c r="F610" t="inlineStr">
        <is>
          <t>VÄSTRA GÖTALANDS LÄN</t>
        </is>
      </c>
      <c r="G610" t="inlineStr">
        <is>
          <t>MARK</t>
        </is>
      </c>
      <c r="I610" t="n">
        <v>0.7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20353-2023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45056</v>
      </c>
      <c r="E611" s="1" t="n">
        <v>46326</v>
      </c>
      <c r="F611" t="inlineStr">
        <is>
          <t>VÄSTRA GÖTALANDS LÄN</t>
        </is>
      </c>
      <c r="G611" t="inlineStr">
        <is>
          <t>MARK</t>
        </is>
      </c>
      <c r="I611" t="n">
        <v>0.6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36300-2024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45534</v>
      </c>
      <c r="E612" s="1" t="n">
        <v>46326</v>
      </c>
      <c r="F612" t="inlineStr">
        <is>
          <t>VÄSTRA GÖTALANDS LÄN</t>
        </is>
      </c>
      <c r="G612" t="inlineStr">
        <is>
          <t>MARK</t>
        </is>
      </c>
      <c r="I612" t="n">
        <v>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3682-2023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44950</v>
      </c>
      <c r="E613" s="1" t="n">
        <v>46326</v>
      </c>
      <c r="F613" t="inlineStr">
        <is>
          <t>VÄSTRA GÖTALANDS LÄN</t>
        </is>
      </c>
      <c r="G613" t="inlineStr">
        <is>
          <t>MARK</t>
        </is>
      </c>
      <c r="I613" t="n">
        <v>1.5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18701-2025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45763</v>
      </c>
      <c r="E614" s="1" t="n">
        <v>46326</v>
      </c>
      <c r="F614" t="inlineStr">
        <is>
          <t>VÄSTRA GÖTALANDS LÄN</t>
        </is>
      </c>
      <c r="G614" t="inlineStr">
        <is>
          <t>MARK</t>
        </is>
      </c>
      <c r="I614" t="n">
        <v>5.1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21260-2025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45779</v>
      </c>
      <c r="E615" s="1" t="n">
        <v>46326</v>
      </c>
      <c r="F615" t="inlineStr">
        <is>
          <t>VÄSTRA GÖTALANDS LÄN</t>
        </is>
      </c>
      <c r="G615" t="inlineStr">
        <is>
          <t>MARK</t>
        </is>
      </c>
      <c r="I615" t="n">
        <v>1.4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8609-2025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45710</v>
      </c>
      <c r="E616" s="1" t="n">
        <v>46326</v>
      </c>
      <c r="F616" t="inlineStr">
        <is>
          <t>VÄSTRA GÖTALANDS LÄN</t>
        </is>
      </c>
      <c r="G616" t="inlineStr">
        <is>
          <t>MARK</t>
        </is>
      </c>
      <c r="I616" t="n">
        <v>5.2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21880-2025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45784</v>
      </c>
      <c r="E617" s="1" t="n">
        <v>46326</v>
      </c>
      <c r="F617" t="inlineStr">
        <is>
          <t>VÄSTRA GÖTALANDS LÄN</t>
        </is>
      </c>
      <c r="G617" t="inlineStr">
        <is>
          <t>MARK</t>
        </is>
      </c>
      <c r="I617" t="n">
        <v>5.8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3683-2022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44586</v>
      </c>
      <c r="E618" s="1" t="n">
        <v>46326</v>
      </c>
      <c r="F618" t="inlineStr">
        <is>
          <t>VÄSTRA GÖTALANDS LÄN</t>
        </is>
      </c>
      <c r="G618" t="inlineStr">
        <is>
          <t>MARK</t>
        </is>
      </c>
      <c r="I618" t="n">
        <v>12.1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22022-2024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45443</v>
      </c>
      <c r="E619" s="1" t="n">
        <v>46326</v>
      </c>
      <c r="F619" t="inlineStr">
        <is>
          <t>VÄSTRA GÖTALANDS LÄN</t>
        </is>
      </c>
      <c r="G619" t="inlineStr">
        <is>
          <t>MARK</t>
        </is>
      </c>
      <c r="I619" t="n">
        <v>2.8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41136-2025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45898</v>
      </c>
      <c r="E620" s="1" t="n">
        <v>46326</v>
      </c>
      <c r="F620" t="inlineStr">
        <is>
          <t>VÄSTRA GÖTALANDS LÄN</t>
        </is>
      </c>
      <c r="G620" t="inlineStr">
        <is>
          <t>MARK</t>
        </is>
      </c>
      <c r="I620" t="n">
        <v>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21854-2025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45784</v>
      </c>
      <c r="E621" s="1" t="n">
        <v>46326</v>
      </c>
      <c r="F621" t="inlineStr">
        <is>
          <t>VÄSTRA GÖTALANDS LÄN</t>
        </is>
      </c>
      <c r="G621" t="inlineStr">
        <is>
          <t>MARK</t>
        </is>
      </c>
      <c r="I621" t="n">
        <v>2.2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17771-2024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45418</v>
      </c>
      <c r="E622" s="1" t="n">
        <v>46326</v>
      </c>
      <c r="F622" t="inlineStr">
        <is>
          <t>VÄSTRA GÖTALANDS LÄN</t>
        </is>
      </c>
      <c r="G622" t="inlineStr">
        <is>
          <t>MARK</t>
        </is>
      </c>
      <c r="I622" t="n">
        <v>1.8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20177-2024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45434</v>
      </c>
      <c r="E623" s="1" t="n">
        <v>46326</v>
      </c>
      <c r="F623" t="inlineStr">
        <is>
          <t>VÄSTRA GÖTALANDS LÄN</t>
        </is>
      </c>
      <c r="G623" t="inlineStr">
        <is>
          <t>MARK</t>
        </is>
      </c>
      <c r="I623" t="n">
        <v>2.8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21906-2024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45443</v>
      </c>
      <c r="E624" s="1" t="n">
        <v>46326</v>
      </c>
      <c r="F624" t="inlineStr">
        <is>
          <t>VÄSTRA GÖTALANDS LÄN</t>
        </is>
      </c>
      <c r="G624" t="inlineStr">
        <is>
          <t>MARK</t>
        </is>
      </c>
      <c r="H624" t="inlineStr">
        <is>
          <t>Kyrkan</t>
        </is>
      </c>
      <c r="I624" t="n">
        <v>1.6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9113-2025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45713</v>
      </c>
      <c r="E625" s="1" t="n">
        <v>46326</v>
      </c>
      <c r="F625" t="inlineStr">
        <is>
          <t>VÄSTRA GÖTALANDS LÄN</t>
        </is>
      </c>
      <c r="G625" t="inlineStr">
        <is>
          <t>MARK</t>
        </is>
      </c>
      <c r="I625" t="n">
        <v>2.8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2128-2025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45672</v>
      </c>
      <c r="E626" s="1" t="n">
        <v>46326</v>
      </c>
      <c r="F626" t="inlineStr">
        <is>
          <t>VÄSTRA GÖTALANDS LÄN</t>
        </is>
      </c>
      <c r="G626" t="inlineStr">
        <is>
          <t>MARK</t>
        </is>
      </c>
      <c r="I626" t="n">
        <v>1.1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11174-2025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45724</v>
      </c>
      <c r="E627" s="1" t="n">
        <v>46326</v>
      </c>
      <c r="F627" t="inlineStr">
        <is>
          <t>VÄSTRA GÖTALANDS LÄN</t>
        </is>
      </c>
      <c r="G627" t="inlineStr">
        <is>
          <t>MARK</t>
        </is>
      </c>
      <c r="I627" t="n">
        <v>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10674-2025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45721</v>
      </c>
      <c r="E628" s="1" t="n">
        <v>46326</v>
      </c>
      <c r="F628" t="inlineStr">
        <is>
          <t>VÄSTRA GÖTALANDS LÄN</t>
        </is>
      </c>
      <c r="G628" t="inlineStr">
        <is>
          <t>MARK</t>
        </is>
      </c>
      <c r="I628" t="n">
        <v>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23480-2025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45792</v>
      </c>
      <c r="E629" s="1" t="n">
        <v>46326</v>
      </c>
      <c r="F629" t="inlineStr">
        <is>
          <t>VÄSTRA GÖTALANDS LÄN</t>
        </is>
      </c>
      <c r="G629" t="inlineStr">
        <is>
          <t>MARK</t>
        </is>
      </c>
      <c r="I629" t="n">
        <v>1.1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23486-2025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45792</v>
      </c>
      <c r="E630" s="1" t="n">
        <v>46326</v>
      </c>
      <c r="F630" t="inlineStr">
        <is>
          <t>VÄSTRA GÖTALANDS LÄN</t>
        </is>
      </c>
      <c r="G630" t="inlineStr">
        <is>
          <t>MARK</t>
        </is>
      </c>
      <c r="I630" t="n">
        <v>0.6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40573-2026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46295</v>
      </c>
      <c r="E631" s="1" t="n">
        <v>46326</v>
      </c>
      <c r="F631" t="inlineStr">
        <is>
          <t>VÄSTRA GÖTALANDS LÄN</t>
        </is>
      </c>
      <c r="G631" t="inlineStr">
        <is>
          <t>MARK</t>
        </is>
      </c>
      <c r="I631" t="n">
        <v>3.4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40347-2026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46294</v>
      </c>
      <c r="E632" s="1" t="n">
        <v>46326</v>
      </c>
      <c r="F632" t="inlineStr">
        <is>
          <t>VÄSTRA GÖTALANDS LÄN</t>
        </is>
      </c>
      <c r="G632" t="inlineStr">
        <is>
          <t>MARK</t>
        </is>
      </c>
      <c r="I632" t="n">
        <v>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40365-2026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46294</v>
      </c>
      <c r="E633" s="1" t="n">
        <v>46326</v>
      </c>
      <c r="F633" t="inlineStr">
        <is>
          <t>VÄSTRA GÖTALANDS LÄN</t>
        </is>
      </c>
      <c r="G633" t="inlineStr">
        <is>
          <t>MARK</t>
        </is>
      </c>
      <c r="I633" t="n">
        <v>0.8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7472-2023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44971</v>
      </c>
      <c r="E634" s="1" t="n">
        <v>46326</v>
      </c>
      <c r="F634" t="inlineStr">
        <is>
          <t>VÄSTRA GÖTALANDS LÄN</t>
        </is>
      </c>
      <c r="G634" t="inlineStr">
        <is>
          <t>MARK</t>
        </is>
      </c>
      <c r="I634" t="n">
        <v>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51442-2022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44869</v>
      </c>
      <c r="E635" s="1" t="n">
        <v>46326</v>
      </c>
      <c r="F635" t="inlineStr">
        <is>
          <t>VÄSTRA GÖTALANDS LÄN</t>
        </is>
      </c>
      <c r="G635" t="inlineStr">
        <is>
          <t>MARK</t>
        </is>
      </c>
      <c r="I635" t="n">
        <v>6.5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40945-2026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46297</v>
      </c>
      <c r="E636" s="1" t="n">
        <v>46326</v>
      </c>
      <c r="F636" t="inlineStr">
        <is>
          <t>VÄSTRA GÖTALANDS LÄN</t>
        </is>
      </c>
      <c r="G636" t="inlineStr">
        <is>
          <t>MARK</t>
        </is>
      </c>
      <c r="I636" t="n">
        <v>2.7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24771-2025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45799</v>
      </c>
      <c r="E637" s="1" t="n">
        <v>46326</v>
      </c>
      <c r="F637" t="inlineStr">
        <is>
          <t>VÄSTRA GÖTALANDS LÄN</t>
        </is>
      </c>
      <c r="G637" t="inlineStr">
        <is>
          <t>MARK</t>
        </is>
      </c>
      <c r="I637" t="n">
        <v>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40737-2026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46296</v>
      </c>
      <c r="E638" s="1" t="n">
        <v>46326</v>
      </c>
      <c r="F638" t="inlineStr">
        <is>
          <t>VÄSTRA GÖTALANDS LÄN</t>
        </is>
      </c>
      <c r="G638" t="inlineStr">
        <is>
          <t>MARK</t>
        </is>
      </c>
      <c r="I638" t="n">
        <v>0.7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17086-2026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46114</v>
      </c>
      <c r="E639" s="1" t="n">
        <v>46326</v>
      </c>
      <c r="F639" t="inlineStr">
        <is>
          <t>VÄSTRA GÖTALANDS LÄN</t>
        </is>
      </c>
      <c r="G639" t="inlineStr">
        <is>
          <t>MARK</t>
        </is>
      </c>
      <c r="I639" t="n">
        <v>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41585-2026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46302</v>
      </c>
      <c r="E640" s="1" t="n">
        <v>46326</v>
      </c>
      <c r="F640" t="inlineStr">
        <is>
          <t>VÄSTRA GÖTALANDS LÄN</t>
        </is>
      </c>
      <c r="G640" t="inlineStr">
        <is>
          <t>MARK</t>
        </is>
      </c>
      <c r="I640" t="n">
        <v>0.6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35069-2026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46259</v>
      </c>
      <c r="E641" s="1" t="n">
        <v>46326</v>
      </c>
      <c r="F641" t="inlineStr">
        <is>
          <t>VÄSTRA GÖTALANDS LÄN</t>
        </is>
      </c>
      <c r="G641" t="inlineStr">
        <is>
          <t>MARK</t>
        </is>
      </c>
      <c r="I641" t="n">
        <v>6.8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45913-2024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45580</v>
      </c>
      <c r="E642" s="1" t="n">
        <v>46326</v>
      </c>
      <c r="F642" t="inlineStr">
        <is>
          <t>VÄSTRA GÖTALANDS LÄN</t>
        </is>
      </c>
      <c r="G642" t="inlineStr">
        <is>
          <t>MARK</t>
        </is>
      </c>
      <c r="I642" t="n">
        <v>2.6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63093-2025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46009</v>
      </c>
      <c r="E643" s="1" t="n">
        <v>46326</v>
      </c>
      <c r="F643" t="inlineStr">
        <is>
          <t>VÄSTRA GÖTALANDS LÄN</t>
        </is>
      </c>
      <c r="G643" t="inlineStr">
        <is>
          <t>MARK</t>
        </is>
      </c>
      <c r="I643" t="n">
        <v>5.5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28432-2025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45819</v>
      </c>
      <c r="E644" s="1" t="n">
        <v>46326</v>
      </c>
      <c r="F644" t="inlineStr">
        <is>
          <t>VÄSTRA GÖTALANDS LÄN</t>
        </is>
      </c>
      <c r="G644" t="inlineStr">
        <is>
          <t>MARK</t>
        </is>
      </c>
      <c r="I644" t="n">
        <v>11.2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36612-2026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46269</v>
      </c>
      <c r="E645" s="1" t="n">
        <v>46326</v>
      </c>
      <c r="F645" t="inlineStr">
        <is>
          <t>VÄSTRA GÖTALANDS LÄN</t>
        </is>
      </c>
      <c r="G645" t="inlineStr">
        <is>
          <t>MARK</t>
        </is>
      </c>
      <c r="I645" t="n">
        <v>1.9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36897-2026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46273</v>
      </c>
      <c r="E646" s="1" t="n">
        <v>46326</v>
      </c>
      <c r="F646" t="inlineStr">
        <is>
          <t>VÄSTRA GÖTALANDS LÄN</t>
        </is>
      </c>
      <c r="G646" t="inlineStr">
        <is>
          <t>MARK</t>
        </is>
      </c>
      <c r="I646" t="n">
        <v>1.8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43564-2026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46315</v>
      </c>
      <c r="E647" s="1" t="n">
        <v>46326</v>
      </c>
      <c r="F647" t="inlineStr">
        <is>
          <t>VÄSTRA GÖTALANDS LÄN</t>
        </is>
      </c>
      <c r="G647" t="inlineStr">
        <is>
          <t>MARK</t>
        </is>
      </c>
      <c r="I647" t="n">
        <v>2.6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43586-2026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46315</v>
      </c>
      <c r="E648" s="1" t="n">
        <v>46326</v>
      </c>
      <c r="F648" t="inlineStr">
        <is>
          <t>VÄSTRA GÖTALANDS LÄN</t>
        </is>
      </c>
      <c r="G648" t="inlineStr">
        <is>
          <t>MARK</t>
        </is>
      </c>
      <c r="I648" t="n">
        <v>4.6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36896-2026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46273</v>
      </c>
      <c r="E649" s="1" t="n">
        <v>46326</v>
      </c>
      <c r="F649" t="inlineStr">
        <is>
          <t>VÄSTRA GÖTALANDS LÄN</t>
        </is>
      </c>
      <c r="G649" t="inlineStr">
        <is>
          <t>MARK</t>
        </is>
      </c>
      <c r="I649" t="n">
        <v>1.9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37120-2026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46274</v>
      </c>
      <c r="E650" s="1" t="n">
        <v>46326</v>
      </c>
      <c r="F650" t="inlineStr">
        <is>
          <t>VÄSTRA GÖTALANDS LÄN</t>
        </is>
      </c>
      <c r="G650" t="inlineStr">
        <is>
          <t>MARK</t>
        </is>
      </c>
      <c r="I650" t="n">
        <v>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43899-2026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46317</v>
      </c>
      <c r="E651" s="1" t="n">
        <v>46326</v>
      </c>
      <c r="F651" t="inlineStr">
        <is>
          <t>VÄSTRA GÖTALANDS LÄN</t>
        </is>
      </c>
      <c r="G651" t="inlineStr">
        <is>
          <t>MARK</t>
        </is>
      </c>
      <c r="I651" t="n">
        <v>1.3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37312-2026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46274</v>
      </c>
      <c r="E652" s="1" t="n">
        <v>46326</v>
      </c>
      <c r="F652" t="inlineStr">
        <is>
          <t>VÄSTRA GÖTALANDS LÄN</t>
        </is>
      </c>
      <c r="G652" t="inlineStr">
        <is>
          <t>MARK</t>
        </is>
      </c>
      <c r="I652" t="n">
        <v>7.5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37445-2026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46275</v>
      </c>
      <c r="E653" s="1" t="n">
        <v>46326</v>
      </c>
      <c r="F653" t="inlineStr">
        <is>
          <t>VÄSTRA GÖTALANDS LÄN</t>
        </is>
      </c>
      <c r="G653" t="inlineStr">
        <is>
          <t>MARK</t>
        </is>
      </c>
      <c r="I653" t="n">
        <v>3.6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37582-2026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46276</v>
      </c>
      <c r="E654" s="1" t="n">
        <v>46326</v>
      </c>
      <c r="F654" t="inlineStr">
        <is>
          <t>VÄSTRA GÖTALANDS LÄN</t>
        </is>
      </c>
      <c r="G654" t="inlineStr">
        <is>
          <t>MARK</t>
        </is>
      </c>
      <c r="I654" t="n">
        <v>3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44897-2026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46323</v>
      </c>
      <c r="E655" s="1" t="n">
        <v>46326</v>
      </c>
      <c r="F655" t="inlineStr">
        <is>
          <t>VÄSTRA GÖTALANDS LÄN</t>
        </is>
      </c>
      <c r="G655" t="inlineStr">
        <is>
          <t>MARK</t>
        </is>
      </c>
      <c r="I655" t="n">
        <v>0.5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44891-2026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46323</v>
      </c>
      <c r="E656" s="1" t="n">
        <v>46326</v>
      </c>
      <c r="F656" t="inlineStr">
        <is>
          <t>VÄSTRA GÖTALANDS LÄN</t>
        </is>
      </c>
      <c r="G656" t="inlineStr">
        <is>
          <t>MARK</t>
        </is>
      </c>
      <c r="I656" t="n">
        <v>2.2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44895-2026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46323</v>
      </c>
      <c r="E657" s="1" t="n">
        <v>46326</v>
      </c>
      <c r="F657" t="inlineStr">
        <is>
          <t>VÄSTRA GÖTALANDS LÄN</t>
        </is>
      </c>
      <c r="G657" t="inlineStr">
        <is>
          <t>MARK</t>
        </is>
      </c>
      <c r="I657" t="n">
        <v>0.5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37694-2026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46279</v>
      </c>
      <c r="E658" s="1" t="n">
        <v>46326</v>
      </c>
      <c r="F658" t="inlineStr">
        <is>
          <t>VÄSTRA GÖTALANDS LÄN</t>
        </is>
      </c>
      <c r="G658" t="inlineStr">
        <is>
          <t>MARK</t>
        </is>
      </c>
      <c r="I658" t="n">
        <v>3.1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38510-2026</t>
        </is>
      </c>
      <c r="B659" t="inlineStr">
        <is>
          <t>avverkningsanmälan</t>
        </is>
      </c>
      <c r="C659" t="inlineStr">
        <is>
          <t>Avverkning för annat ändamål</t>
        </is>
      </c>
      <c r="D659" s="1" t="n">
        <v>46281</v>
      </c>
      <c r="E659" s="1" t="n">
        <v>46326</v>
      </c>
      <c r="F659" t="inlineStr">
        <is>
          <t>VÄSTRA GÖTALANDS LÄN</t>
        </is>
      </c>
      <c r="G659" t="inlineStr">
        <is>
          <t>MARK</t>
        </is>
      </c>
      <c r="I659" t="n">
        <v>1.4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45206-2026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46325</v>
      </c>
      <c r="E660" s="1" t="n">
        <v>46326</v>
      </c>
      <c r="F660" t="inlineStr">
        <is>
          <t>VÄSTRA GÖTALANDS LÄN</t>
        </is>
      </c>
      <c r="G660" t="inlineStr">
        <is>
          <t>MARK</t>
        </is>
      </c>
      <c r="I660" t="n">
        <v>1.7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38536-2026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46283</v>
      </c>
      <c r="E661" s="1" t="n">
        <v>46326</v>
      </c>
      <c r="F661" t="inlineStr">
        <is>
          <t>VÄSTRA GÖTALANDS LÄN</t>
        </is>
      </c>
      <c r="G661" t="inlineStr">
        <is>
          <t>MARK</t>
        </is>
      </c>
      <c r="I661" t="n">
        <v>1.9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38550-2026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46283</v>
      </c>
      <c r="E662" s="1" t="n">
        <v>46326</v>
      </c>
      <c r="F662" t="inlineStr">
        <is>
          <t>VÄSTRA GÖTALANDS LÄN</t>
        </is>
      </c>
      <c r="G662" t="inlineStr">
        <is>
          <t>MARK</t>
        </is>
      </c>
      <c r="I662" t="n">
        <v>1.1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38503-2026</t>
        </is>
      </c>
      <c r="B663" t="inlineStr">
        <is>
          <t>avverkningsanmälan</t>
        </is>
      </c>
      <c r="C663" t="inlineStr">
        <is>
          <t>Avverkning för annat ändamål</t>
        </is>
      </c>
      <c r="D663" s="1" t="n">
        <v>46282</v>
      </c>
      <c r="E663" s="1" t="n">
        <v>46326</v>
      </c>
      <c r="F663" t="inlineStr">
        <is>
          <t>VÄSTRA GÖTALANDS LÄN</t>
        </is>
      </c>
      <c r="G663" t="inlineStr">
        <is>
          <t>MARK</t>
        </is>
      </c>
      <c r="I663" t="n">
        <v>1.9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S 1932-2020</t>
        </is>
      </c>
      <c r="B664" t="inlineStr">
        <is>
          <t>samrådsanmälan</t>
        </is>
      </c>
      <c r="C664" t="n">
        <v/>
      </c>
      <c r="D664" s="1" t="n">
        <v>44088</v>
      </c>
      <c r="E664" s="1" t="n">
        <v>46326</v>
      </c>
      <c r="F664" t="inlineStr">
        <is>
          <t>VÄSTRA GÖTALANDS LÄN</t>
        </is>
      </c>
      <c r="G664" t="inlineStr">
        <is>
          <t>MARK</t>
        </is>
      </c>
      <c r="I664" t="n">
        <v>8.5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S 2896-2022</t>
        </is>
      </c>
      <c r="B665" t="inlineStr">
        <is>
          <t>samrådsanmälan</t>
        </is>
      </c>
      <c r="C665" t="inlineStr">
        <is>
          <t>Askåterföring</t>
        </is>
      </c>
      <c r="D665" s="1" t="n">
        <v>44711</v>
      </c>
      <c r="E665" s="1" t="n">
        <v>46326</v>
      </c>
      <c r="F665" t="inlineStr">
        <is>
          <t>VÄSTRA GÖTALANDS LÄN</t>
        </is>
      </c>
      <c r="G665" t="inlineStr">
        <is>
          <t>MARK</t>
        </is>
      </c>
      <c r="I665" t="n">
        <v>30.7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S 506-2023</t>
        </is>
      </c>
      <c r="B666" t="inlineStr">
        <is>
          <t>samrådsanmälan</t>
        </is>
      </c>
      <c r="C666" t="inlineStr">
        <is>
          <t>Askåterföring</t>
        </is>
      </c>
      <c r="D666" s="1" t="n">
        <v>44966</v>
      </c>
      <c r="E666" s="1" t="n">
        <v>46326</v>
      </c>
      <c r="F666" t="inlineStr">
        <is>
          <t>VÄSTRA GÖTALANDS LÄN</t>
        </is>
      </c>
      <c r="G666" t="inlineStr">
        <is>
          <t>MARK</t>
        </is>
      </c>
      <c r="H666" t="inlineStr">
        <is>
          <t>Kommuner</t>
        </is>
      </c>
      <c r="I666" t="n">
        <v>8.6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S 479-2024</t>
        </is>
      </c>
      <c r="B667" t="inlineStr">
        <is>
          <t>samrådsanmälan</t>
        </is>
      </c>
      <c r="C667" t="inlineStr">
        <is>
          <t>Annan skogsbruksåtgärd</t>
        </is>
      </c>
      <c r="D667" s="1" t="n">
        <v>45343</v>
      </c>
      <c r="E667" s="1" t="n">
        <v>46326</v>
      </c>
      <c r="F667" t="inlineStr">
        <is>
          <t>VÄSTRA GÖTALANDS LÄN</t>
        </is>
      </c>
      <c r="G667" t="inlineStr">
        <is>
          <t>MARK</t>
        </is>
      </c>
      <c r="I667" t="n">
        <v>1.4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S 505-2023</t>
        </is>
      </c>
      <c r="B668" t="inlineStr">
        <is>
          <t>samrådsanmälan</t>
        </is>
      </c>
      <c r="C668" t="inlineStr">
        <is>
          <t>Askåterföring</t>
        </is>
      </c>
      <c r="D668" s="1" t="n">
        <v>44966</v>
      </c>
      <c r="E668" s="1" t="n">
        <v>46326</v>
      </c>
      <c r="F668" t="inlineStr">
        <is>
          <t>VÄSTRA GÖTALANDS LÄN</t>
        </is>
      </c>
      <c r="G668" t="inlineStr">
        <is>
          <t>MARK</t>
        </is>
      </c>
      <c r="H668" t="inlineStr">
        <is>
          <t>Kommuner</t>
        </is>
      </c>
      <c r="I668" t="n">
        <v>18.1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S 1444-2025</t>
        </is>
      </c>
      <c r="B669" t="inlineStr">
        <is>
          <t>samrådsanmälan</t>
        </is>
      </c>
      <c r="C669" t="inlineStr">
        <is>
          <t>Askåterföring</t>
        </is>
      </c>
      <c r="D669" s="1" t="n">
        <v>45785</v>
      </c>
      <c r="E669" s="1" t="n">
        <v>46326</v>
      </c>
      <c r="F669" t="inlineStr">
        <is>
          <t>VÄSTRA GÖTALANDS LÄN</t>
        </is>
      </c>
      <c r="G669" t="inlineStr">
        <is>
          <t>MARK</t>
        </is>
      </c>
      <c r="I669" t="n">
        <v>13.8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S 2056-2025</t>
        </is>
      </c>
      <c r="B670" t="inlineStr">
        <is>
          <t>samrådsanmälan</t>
        </is>
      </c>
      <c r="C670" t="inlineStr">
        <is>
          <t>Annan skogsbruksåtgärd</t>
        </is>
      </c>
      <c r="D670" s="1" t="n">
        <v>45839</v>
      </c>
      <c r="E670" s="1" t="n">
        <v>46326</v>
      </c>
      <c r="F670" t="inlineStr">
        <is>
          <t>VÄSTRA GÖTALANDS LÄN</t>
        </is>
      </c>
      <c r="G670" t="inlineStr">
        <is>
          <t>MARK</t>
        </is>
      </c>
      <c r="H670" t="inlineStr">
        <is>
          <t>Sveaskog</t>
        </is>
      </c>
      <c r="I670" t="n">
        <v>4.5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S 2083-2025</t>
        </is>
      </c>
      <c r="B671" t="inlineStr">
        <is>
          <t>samrådsanmälan</t>
        </is>
      </c>
      <c r="C671" t="inlineStr">
        <is>
          <t>Askåterföring</t>
        </is>
      </c>
      <c r="D671" s="1" t="n">
        <v>45841</v>
      </c>
      <c r="E671" s="1" t="n">
        <v>46326</v>
      </c>
      <c r="F671" t="inlineStr">
        <is>
          <t>VÄSTRA GÖTALANDS LÄN</t>
        </is>
      </c>
      <c r="G671" t="inlineStr">
        <is>
          <t>MARK</t>
        </is>
      </c>
      <c r="I671" t="n">
        <v>14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S 495-2025</t>
        </is>
      </c>
      <c r="B672" t="inlineStr">
        <is>
          <t>samrådsanmälan</t>
        </is>
      </c>
      <c r="C672" t="inlineStr">
        <is>
          <t>Askåterföring</t>
        </is>
      </c>
      <c r="D672" s="1" t="n">
        <v>45705</v>
      </c>
      <c r="E672" s="1" t="n">
        <v>46326</v>
      </c>
      <c r="F672" t="inlineStr">
        <is>
          <t>VÄSTRA GÖTALANDS LÄN</t>
        </is>
      </c>
      <c r="G672" t="inlineStr">
        <is>
          <t>MARK</t>
        </is>
      </c>
      <c r="I672" t="n">
        <v>41.1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S 4332-2023</t>
        </is>
      </c>
      <c r="B673" t="inlineStr">
        <is>
          <t>samrådsanmälan</t>
        </is>
      </c>
      <c r="C673" t="inlineStr">
        <is>
          <t>Annan skogsbruksåtgärd</t>
        </is>
      </c>
      <c r="D673" s="1" t="n">
        <v>45261</v>
      </c>
      <c r="E673" s="1" t="n">
        <v>46326</v>
      </c>
      <c r="F673" t="inlineStr">
        <is>
          <t>VÄSTRA GÖTALANDS LÄN</t>
        </is>
      </c>
      <c r="G673" t="inlineStr">
        <is>
          <t>MARK</t>
        </is>
      </c>
      <c r="I673" t="n">
        <v>0.5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S 1201-2023</t>
        </is>
      </c>
      <c r="B674" t="inlineStr">
        <is>
          <t>samrådsanmälan</t>
        </is>
      </c>
      <c r="C674" t="inlineStr">
        <is>
          <t>Annan skogsbruksåtgärd</t>
        </is>
      </c>
      <c r="D674" s="1" t="n">
        <v>45022</v>
      </c>
      <c r="E674" s="1" t="n">
        <v>46326</v>
      </c>
      <c r="F674" t="inlineStr">
        <is>
          <t>VÄSTRA GÖTALANDS LÄN</t>
        </is>
      </c>
      <c r="G674" t="inlineStr">
        <is>
          <t>MARK</t>
        </is>
      </c>
      <c r="I674" t="n">
        <v>2.1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S 143-2026</t>
        </is>
      </c>
      <c r="B675" t="inlineStr">
        <is>
          <t>samrådsanmälan</t>
        </is>
      </c>
      <c r="C675" t="inlineStr">
        <is>
          <t>Askåterföring</t>
        </is>
      </c>
      <c r="D675" s="1" t="n">
        <v>46042</v>
      </c>
      <c r="E675" s="1" t="n">
        <v>46326</v>
      </c>
      <c r="F675" t="inlineStr">
        <is>
          <t>VÄSTRA GÖTALANDS LÄN</t>
        </is>
      </c>
      <c r="G675" t="inlineStr">
        <is>
          <t>MARK</t>
        </is>
      </c>
      <c r="I675" t="n">
        <v>46.7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S 880-2026</t>
        </is>
      </c>
      <c r="B676" t="inlineStr">
        <is>
          <t>samrådsanmälan</t>
        </is>
      </c>
      <c r="C676" t="inlineStr">
        <is>
          <t>Askåterföring</t>
        </is>
      </c>
      <c r="D676" s="1" t="n">
        <v>46107</v>
      </c>
      <c r="E676" s="1" t="n">
        <v>46326</v>
      </c>
      <c r="F676" t="inlineStr">
        <is>
          <t>VÄSTRA GÖTALANDS LÄN</t>
        </is>
      </c>
      <c r="G676" t="inlineStr">
        <is>
          <t>MARK</t>
        </is>
      </c>
      <c r="I676" t="n">
        <v>8.300000000000001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S 1111-2026</t>
        </is>
      </c>
      <c r="B677" t="inlineStr">
        <is>
          <t>samrådsanmälan</t>
        </is>
      </c>
      <c r="C677" t="inlineStr">
        <is>
          <t>Annan skogsbruksåtgärd</t>
        </is>
      </c>
      <c r="D677" s="1" t="n">
        <v>46132</v>
      </c>
      <c r="E677" s="1" t="n">
        <v>46326</v>
      </c>
      <c r="F677" t="inlineStr">
        <is>
          <t>VÄSTRA GÖTALANDS LÄN</t>
        </is>
      </c>
      <c r="G677" t="inlineStr">
        <is>
          <t>MARK</t>
        </is>
      </c>
      <c r="I677" t="n">
        <v>3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>
      <c r="A678" t="inlineStr">
        <is>
          <t>S 2222-2026</t>
        </is>
      </c>
      <c r="B678" t="inlineStr">
        <is>
          <t>samrådsanmälan</t>
        </is>
      </c>
      <c r="C678" t="inlineStr">
        <is>
          <t>Annan skogsbruksåtgärd</t>
        </is>
      </c>
      <c r="D678" s="1" t="n">
        <v>46258</v>
      </c>
      <c r="E678" s="1" t="n">
        <v>46326</v>
      </c>
      <c r="F678" t="inlineStr">
        <is>
          <t>VÄSTRA GÖTALANDS LÄN</t>
        </is>
      </c>
      <c r="G678" t="inlineStr">
        <is>
          <t>MARK</t>
        </is>
      </c>
      <c r="I678" t="n">
        <v>1.3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2026-10-31T03:26:25Z</dcterms:created>
  <dcterms:modified xmlns:dcterms="http://purl.org/dc/terms/" xmlns:xsi="http://www.w3.org/2001/XMLSchema-instance" xsi:type="dcterms:W3CDTF">2026-10-31T03:26:26Z</dcterms:modified>
</cp:coreProperties>
</file>