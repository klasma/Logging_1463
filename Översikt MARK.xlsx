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46263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46263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A 51553-2023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45222</v>
      </c>
      <c r="E6" s="1" t="n">
        <v>46263</v>
      </c>
      <c r="F6" t="inlineStr">
        <is>
          <t>VÄSTRA GÖTALANDS LÄN</t>
        </is>
      </c>
      <c r="G6" t="inlineStr">
        <is>
          <t>MARK</t>
        </is>
      </c>
      <c r="I6" t="n">
        <v>0.6</v>
      </c>
      <c r="J6" t="n">
        <v>0</v>
      </c>
      <c r="K6" t="n">
        <v>2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Ask
Fällmossa
Guldlockmossa</t>
        </is>
      </c>
      <c r="W6">
        <f>HYPERLINK("https://klasma.github.io/Logging_1463/artfynd/A 51553-2023 artfynd.xlsx", "A 51553-2023")</f>
        <v/>
      </c>
      <c r="X6">
        <f>HYPERLINK("https://klasma.github.io/Logging_1463/kartor/A 51553-2023 karta.png", "A 51553-2023")</f>
        <v/>
      </c>
      <c r="Y6">
        <f>HYPERLINK("https://klasma.github.io/Logging_1463/kartor_geotiff/A 51553-2023 georefererad karta.tif", "A 51553-2023")</f>
        <v/>
      </c>
      <c r="AA6">
        <f>HYPERLINK("https://klasma.github.io/Logging_1463/klagomål/A 51553-2023 FSC-klagomål.docx", "A 51553-2023")</f>
        <v/>
      </c>
      <c r="AB6">
        <f>HYPERLINK("https://klasma.github.io/Logging_1463/klagomålsmail/A 51553-2023 FSC-klagomål mail.docx", "A 51553-2023")</f>
        <v/>
      </c>
      <c r="AC6">
        <f>HYPERLINK("https://klasma.github.io/Logging_1463/tillsyn/A 51553-2023 tillsynsbegäran.docx", "A 51553-2023")</f>
        <v/>
      </c>
      <c r="AD6">
        <f>HYPERLINK("https://klasma.github.io/Logging_1463/tillsynsmail/A 51553-2023 tillsynsbegäran mail.docx", "A 51553-2023")</f>
        <v/>
      </c>
    </row>
    <row r="7" ht="15" customHeight="1">
      <c r="A7" t="inlineStr">
        <is>
          <t>S 535-2024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45348</v>
      </c>
      <c r="E7" s="1" t="n">
        <v>46263</v>
      </c>
      <c r="F7" t="inlineStr">
        <is>
          <t>VÄSTRA GÖTALANDS LÄN</t>
        </is>
      </c>
      <c r="G7" t="inlineStr">
        <is>
          <t>MARK</t>
        </is>
      </c>
      <c r="I7" t="n">
        <v>113.9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4</v>
      </c>
      <c r="U7" t="n">
        <v>1</v>
      </c>
      <c r="V7" s="2" t="inlineStr">
        <is>
          <t>Borsttåg
Dropptaggsvamp
Svartvit taggsvamp</t>
        </is>
      </c>
      <c r="W7">
        <f>HYPERLINK("https://klasma.github.io/Logging_1463/artfynd/S 535-2024 artfynd.xlsx", "S 535-2024")</f>
        <v/>
      </c>
      <c r="X7">
        <f>HYPERLINK("https://klasma.github.io/Logging_1463/kartor/S 535-2024 karta.png", "S 535-2024")</f>
        <v/>
      </c>
      <c r="Y7">
        <f>HYPERLINK("https://klasma.github.io/Logging_1463/kartor_geotiff/S 535-2024 georefererad karta.tif", "S 535-2024")</f>
        <v/>
      </c>
      <c r="AA7">
        <f>HYPERLINK("https://klasma.github.io/Logging_1463/klagomål/S 535-2024 FSC-klagomål.docx", "S 535-2024")</f>
        <v/>
      </c>
      <c r="AB7">
        <f>HYPERLINK("https://klasma.github.io/Logging_1463/klagomålsmail/S 535-2024 FSC-klagomål mail.docx", "S 535-2024")</f>
        <v/>
      </c>
      <c r="AC7">
        <f>HYPERLINK("https://klasma.github.io/Logging_1463/tillsyn/S 535-2024 tillsynsbegäran.docx", "S 535-2024")</f>
        <v/>
      </c>
      <c r="AD7">
        <f>HYPERLINK("https://klasma.github.io/Logging_1463/tillsynsmail/S 535-2024 tillsynsbegäran mail.docx", "S 535-2024")</f>
        <v/>
      </c>
    </row>
    <row r="8" ht="15" customHeight="1">
      <c r="A8" t="inlineStr">
        <is>
          <t>S 4590-2023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45285</v>
      </c>
      <c r="E8" s="1" t="n">
        <v>46263</v>
      </c>
      <c r="F8" t="inlineStr">
        <is>
          <t>VÄSTRA GÖTALANDS LÄN</t>
        </is>
      </c>
      <c r="G8" t="inlineStr">
        <is>
          <t>MARK</t>
        </is>
      </c>
      <c r="I8" t="n">
        <v>4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Desmeknopp
Iller
Knippnejlika</t>
        </is>
      </c>
      <c r="W8">
        <f>HYPERLINK("https://klasma.github.io/Logging_1463/artfynd/S 4590-2023 artfynd.xlsx", "S 4590-2023")</f>
        <v/>
      </c>
      <c r="X8">
        <f>HYPERLINK("https://klasma.github.io/Logging_1463/kartor/S 4590-2023 karta.png", "S 4590-2023")</f>
        <v/>
      </c>
      <c r="Y8">
        <f>HYPERLINK("https://klasma.github.io/Logging_1463/kartor_geotiff/S 4590-2023 georefererad karta.tif", "S 4590-2023")</f>
        <v/>
      </c>
      <c r="AA8">
        <f>HYPERLINK("https://klasma.github.io/Logging_1463/klagomål/S 4590-2023 FSC-klagomål.docx", "S 4590-2023")</f>
        <v/>
      </c>
      <c r="AB8">
        <f>HYPERLINK("https://klasma.github.io/Logging_1463/klagomålsmail/S 4590-2023 FSC-klagomål mail.docx", "S 4590-2023")</f>
        <v/>
      </c>
      <c r="AC8">
        <f>HYPERLINK("https://klasma.github.io/Logging_1463/tillsyn/S 4590-2023 tillsynsbegäran.docx", "S 4590-2023")</f>
        <v/>
      </c>
      <c r="AD8">
        <f>HYPERLINK("https://klasma.github.io/Logging_1463/tillsynsmail/S 4590-2023 tillsynsbegäran mail.docx", "S 4590-2023")</f>
        <v/>
      </c>
    </row>
    <row r="9" ht="15" customHeight="1">
      <c r="A9" t="inlineStr">
        <is>
          <t>A 57572-2021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44482</v>
      </c>
      <c r="E9" s="1" t="n">
        <v>46263</v>
      </c>
      <c r="F9" t="inlineStr">
        <is>
          <t>VÄSTRA GÖTALANDS LÄN</t>
        </is>
      </c>
      <c r="G9" t="inlineStr">
        <is>
          <t>MARK</t>
        </is>
      </c>
      <c r="I9" t="n">
        <v>8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4</v>
      </c>
      <c r="U9" t="n">
        <v>0</v>
      </c>
      <c r="V9" s="2" t="inlineStr">
        <is>
          <t>Knärot
Sexfläckig bastardsvärmare</t>
        </is>
      </c>
      <c r="W9">
        <f>HYPERLINK("https://klasma.github.io/Logging_1463/artfynd/A 57572-2021 artfynd.xlsx", "A 57572-2021")</f>
        <v/>
      </c>
      <c r="X9">
        <f>HYPERLINK("https://klasma.github.io/Logging_1463/kartor/A 57572-2021 karta.png", "A 57572-2021")</f>
        <v/>
      </c>
      <c r="Y9">
        <f>HYPERLINK("https://klasma.github.io/Logging_1463/kartor_geotiff/A 57572-2021 georefererad karta.tif", "A 57572-2021")</f>
        <v/>
      </c>
      <c r="Z9">
        <f>HYPERLINK("https://klasma.github.io/Logging_1463/knärot/A 57572-2021 karta knärot.png", "A 57572-2021")</f>
        <v/>
      </c>
      <c r="AA9">
        <f>HYPERLINK("https://klasma.github.io/Logging_1463/klagomål/A 57572-2021 FSC-klagomål.docx", "A 57572-2021")</f>
        <v/>
      </c>
      <c r="AB9">
        <f>HYPERLINK("https://klasma.github.io/Logging_1463/klagomålsmail/A 57572-2021 FSC-klagomål mail.docx", "A 57572-2021")</f>
        <v/>
      </c>
      <c r="AC9">
        <f>HYPERLINK("https://klasma.github.io/Logging_1463/tillsyn/A 57572-2021 tillsynsbegäran.docx", "A 57572-2021")</f>
        <v/>
      </c>
      <c r="AD9">
        <f>HYPERLINK("https://klasma.github.io/Logging_1463/tillsynsmail/A 57572-2021 tillsynsbegäran mail.docx", "A 57572-2021")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46263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2366-2025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46263</v>
      </c>
      <c r="F11" t="inlineStr">
        <is>
          <t>VÄSTRA GÖTALANDS LÄN</t>
        </is>
      </c>
      <c r="G11" t="inlineStr">
        <is>
          <t>MARK</t>
        </is>
      </c>
      <c r="I11" t="n">
        <v>2.8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HYPERLINK("https://klasma.github.io/Logging_1463/artfynd/A 2366-2025 artfynd.xlsx", "A 2366-2025")</f>
        <v/>
      </c>
      <c r="X11">
        <f>HYPERLINK("https://klasma.github.io/Logging_1463/kartor/A 2366-2025 karta.png", "A 2366-2025")</f>
        <v/>
      </c>
      <c r="Y11">
        <f>HYPERLINK("https://klasma.github.io/Logging_1463/kartor_geotiff/A 2366-2025 georefererad karta.tif", "A 2366-2025")</f>
        <v/>
      </c>
      <c r="AA11">
        <f>HYPERLINK("https://klasma.github.io/Logging_1463/klagomål/A 2366-2025 FSC-klagomål.docx", "A 2366-2025")</f>
        <v/>
      </c>
      <c r="AB11">
        <f>HYPERLINK("https://klasma.github.io/Logging_1463/klagomålsmail/A 2366-2025 FSC-klagomål mail.docx", "A 2366-2025")</f>
        <v/>
      </c>
      <c r="AC11">
        <f>HYPERLINK("https://klasma.github.io/Logging_1463/tillsyn/A 2366-2025 tillsynsbegäran.docx", "A 2366-2025")</f>
        <v/>
      </c>
      <c r="AD11">
        <f>HYPERLINK("https://klasma.github.io/Logging_1463/tillsynsmail/A 2366-2025 tillsynsbegäran mail.docx", "A 2366-2025")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46263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3653-2023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44950</v>
      </c>
      <c r="E13" s="1" t="n">
        <v>46263</v>
      </c>
      <c r="F13" t="inlineStr">
        <is>
          <t>VÄSTRA GÖTALANDS LÄN</t>
        </is>
      </c>
      <c r="G13" t="inlineStr">
        <is>
          <t>MARK</t>
        </is>
      </c>
      <c r="H13" t="inlineStr">
        <is>
          <t>Sveaskog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Slemjordtunga
Vitvaxing agg.</t>
        </is>
      </c>
      <c r="W13">
        <f>HYPERLINK("https://klasma.github.io/Logging_1463/artfynd/A 3653-2023 artfynd.xlsx", "A 3653-2023")</f>
        <v/>
      </c>
      <c r="X13">
        <f>HYPERLINK("https://klasma.github.io/Logging_1463/kartor/A 3653-2023 karta.png", "A 3653-2023")</f>
        <v/>
      </c>
      <c r="Y13">
        <f>HYPERLINK("https://klasma.github.io/Logging_1463/kartor_geotiff/A 3653-2023 georefererad karta.tif", "A 3653-2023")</f>
        <v/>
      </c>
      <c r="AA13">
        <f>HYPERLINK("https://klasma.github.io/Logging_1463/klagomål/A 3653-2023 FSC-klagomål.docx", "A 3653-2023")</f>
        <v/>
      </c>
      <c r="AB13">
        <f>HYPERLINK("https://klasma.github.io/Logging_1463/klagomålsmail/A 3653-2023 FSC-klagomål mail.docx", "A 3653-2023")</f>
        <v/>
      </c>
      <c r="AC13">
        <f>HYPERLINK("https://klasma.github.io/Logging_1463/tillsyn/A 3653-2023 tillsynsbegäran.docx", "A 3653-2023")</f>
        <v/>
      </c>
      <c r="AD13">
        <f>HYPERLINK("https://klasma.github.io/Logging_1463/tillsynsmail/A 3653-2023 tillsynsbegäran mail.docx", "A 3653-2023")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46263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46263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46263</v>
      </c>
      <c r="F16" t="inlineStr">
        <is>
          <t>VÄSTRA GÖTALANDS LÄN</t>
        </is>
      </c>
      <c r="G16" t="inlineStr">
        <is>
          <t>MARK</t>
        </is>
      </c>
      <c r="I16" t="n">
        <v>1.8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Vanlig groda</t>
        </is>
      </c>
      <c r="W16">
        <f>HYPERLINK("https://klasma.github.io/Logging_1463/artfynd/A 59419-2024 artfynd.xlsx", "A 59419-2024")</f>
        <v/>
      </c>
      <c r="X16">
        <f>HYPERLINK("https://klasma.github.io/Logging_1463/kartor/A 59419-2024 karta.png", "A 59419-2024")</f>
        <v/>
      </c>
      <c r="Y16">
        <f>HYPERLINK("https://klasma.github.io/Logging_1463/kartor_geotiff/A 59419-2024 georefererad karta.tif", "A 59419-2024")</f>
        <v/>
      </c>
      <c r="AA16">
        <f>HYPERLINK("https://klasma.github.io/Logging_1463/klagomål/A 59419-2024 FSC-klagomål.docx", "A 59419-2024")</f>
        <v/>
      </c>
      <c r="AB16">
        <f>HYPERLINK("https://klasma.github.io/Logging_1463/klagomålsmail/A 59419-2024 FSC-klagomål mail.docx", "A 59419-2024")</f>
        <v/>
      </c>
      <c r="AC16">
        <f>HYPERLINK("https://klasma.github.io/Logging_1463/tillsyn/A 59419-2024 tillsynsbegäran.docx", "A 59419-2024")</f>
        <v/>
      </c>
      <c r="AD16">
        <f>HYPERLINK("https://klasma.github.io/Logging_1463/tillsynsmail/A 59419-2024 tillsynsbegäran mail.docx", "A 59419-2024")</f>
        <v/>
      </c>
      <c r="AE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46263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46263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46263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46263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46263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45091</v>
      </c>
      <c r="E22" s="1" t="n">
        <v>46263</v>
      </c>
      <c r="F22" t="inlineStr">
        <is>
          <t>VÄSTRA GÖTALANDS LÄN</t>
        </is>
      </c>
      <c r="G22" t="inlineStr">
        <is>
          <t>MARK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HYPERLINK("https://klasma.github.io/Logging_1463/artfynd/A 26050-2023 artfynd.xlsx", "A 26050-2023")</f>
        <v/>
      </c>
      <c r="X22">
        <f>HYPERLINK("https://klasma.github.io/Logging_1463/kartor/A 26050-2023 karta.png", "A 26050-2023")</f>
        <v/>
      </c>
      <c r="Y22">
        <f>HYPERLINK("https://klasma.github.io/Logging_1463/kartor_geotiff/A 26050-2023 georefererad karta.tif", "A 26050-2023")</f>
        <v/>
      </c>
      <c r="AA22">
        <f>HYPERLINK("https://klasma.github.io/Logging_1463/klagomål/A 26050-2023 FSC-klagomål.docx", "A 26050-2023")</f>
        <v/>
      </c>
      <c r="AB22">
        <f>HYPERLINK("https://klasma.github.io/Logging_1463/klagomålsmail/A 26050-2023 FSC-klagomål mail.docx", "A 26050-2023")</f>
        <v/>
      </c>
      <c r="AC22">
        <f>HYPERLINK("https://klasma.github.io/Logging_1463/tillsyn/A 26050-2023 tillsynsbegäran.docx", "A 26050-2023")</f>
        <v/>
      </c>
      <c r="AD22">
        <f>HYPERLINK("https://klasma.github.io/Logging_1463/tillsynsmail/A 26050-2023 tillsynsbegäran mail.docx", "A 26050-2023")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46263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62725-2023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45271</v>
      </c>
      <c r="E24" s="1" t="n">
        <v>46263</v>
      </c>
      <c r="F24" t="inlineStr">
        <is>
          <t>VÄSTRA GÖTALANDS LÄN</t>
        </is>
      </c>
      <c r="G24" t="inlineStr">
        <is>
          <t>MARK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Blåsippa</t>
        </is>
      </c>
      <c r="W24">
        <f>HYPERLINK("https://klasma.github.io/Logging_1463/artfynd/A 62725-2023 artfynd.xlsx", "A 62725-2023")</f>
        <v/>
      </c>
      <c r="X24">
        <f>HYPERLINK("https://klasma.github.io/Logging_1463/kartor/A 62725-2023 karta.png", "A 62725-2023")</f>
        <v/>
      </c>
      <c r="Y24">
        <f>HYPERLINK("https://klasma.github.io/Logging_1463/kartor_geotiff/A 62725-2023 georefererad karta.tif", "A 62725-2023")</f>
        <v/>
      </c>
      <c r="AA24">
        <f>HYPERLINK("https://klasma.github.io/Logging_1463/klagomål/A 62725-2023 FSC-klagomål.docx", "A 62725-2023")</f>
        <v/>
      </c>
      <c r="AB24">
        <f>HYPERLINK("https://klasma.github.io/Logging_1463/klagomålsmail/A 62725-2023 FSC-klagomål mail.docx", "A 62725-2023")</f>
        <v/>
      </c>
      <c r="AC24">
        <f>HYPERLINK("https://klasma.github.io/Logging_1463/tillsyn/A 62725-2023 tillsynsbegäran.docx", "A 62725-2023")</f>
        <v/>
      </c>
      <c r="AD24">
        <f>HYPERLINK("https://klasma.github.io/Logging_1463/tillsynsmail/A 62725-2023 tillsynsbegäran mail.docx", "A 62725-2023")</f>
        <v/>
      </c>
    </row>
    <row r="25" ht="15" customHeight="1">
      <c r="A25" t="inlineStr">
        <is>
          <t>A 23536-2025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45792</v>
      </c>
      <c r="E25" s="1" t="n">
        <v>46263</v>
      </c>
      <c r="F25" t="inlineStr">
        <is>
          <t>VÄSTRA GÖTALANDS LÄN</t>
        </is>
      </c>
      <c r="G25" t="inlineStr">
        <is>
          <t>MARK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HYPERLINK("https://klasma.github.io/Logging_1463/artfynd/A 23536-2025 artfynd.xlsx", "A 23536-2025")</f>
        <v/>
      </c>
      <c r="X25">
        <f>HYPERLINK("https://klasma.github.io/Logging_1463/kartor/A 23536-2025 karta.png", "A 23536-2025")</f>
        <v/>
      </c>
      <c r="Y25">
        <f>HYPERLINK("https://klasma.github.io/Logging_1463/kartor_geotiff/A 23536-2025 georefererad karta.tif", "A 23536-2025")</f>
        <v/>
      </c>
      <c r="AA25">
        <f>HYPERLINK("https://klasma.github.io/Logging_1463/klagomål/A 23536-2025 FSC-klagomål.docx", "A 23536-2025")</f>
        <v/>
      </c>
      <c r="AB25">
        <f>HYPERLINK("https://klasma.github.io/Logging_1463/klagomålsmail/A 23536-2025 FSC-klagomål mail.docx", "A 23536-2025")</f>
        <v/>
      </c>
      <c r="AC25">
        <f>HYPERLINK("https://klasma.github.io/Logging_1463/tillsyn/A 23536-2025 tillsynsbegäran.docx", "A 23536-2025")</f>
        <v/>
      </c>
      <c r="AD25">
        <f>HYPERLINK("https://klasma.github.io/Logging_1463/tillsynsmail/A 23536-2025 tillsynsbegäran mail.docx", "A 23536-2025")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46263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4304-2024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46263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4304-2024 artfynd.xlsx", "A 4304-2024")</f>
        <v/>
      </c>
      <c r="X27">
        <f>HYPERLINK("https://klasma.github.io/Logging_1463/kartor/A 4304-2024 karta.png", "A 4304-2024")</f>
        <v/>
      </c>
      <c r="Y27">
        <f>HYPERLINK("https://klasma.github.io/Logging_1463/kartor_geotiff/A 4304-2024 georefererad karta.tif", "A 4304-2024")</f>
        <v/>
      </c>
      <c r="AA27">
        <f>HYPERLINK("https://klasma.github.io/Logging_1463/klagomål/A 4304-2024 FSC-klagomål.docx", "A 4304-2024")</f>
        <v/>
      </c>
      <c r="AB27">
        <f>HYPERLINK("https://klasma.github.io/Logging_1463/klagomålsmail/A 4304-2024 FSC-klagomål mail.docx", "A 4304-2024")</f>
        <v/>
      </c>
      <c r="AC27">
        <f>HYPERLINK("https://klasma.github.io/Logging_1463/tillsyn/A 4304-2024 tillsynsbegäran.docx", "A 4304-2024")</f>
        <v/>
      </c>
      <c r="AD27">
        <f>HYPERLINK("https://klasma.github.io/Logging_1463/tillsynsmail/A 4304-2024 tillsynsbegäran mail.docx", "A 4304-2024")</f>
        <v/>
      </c>
    </row>
    <row r="28" ht="15" customHeight="1">
      <c r="A28" t="inlineStr">
        <is>
          <t>A 34899-2025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45849</v>
      </c>
      <c r="E28" s="1" t="n">
        <v>46263</v>
      </c>
      <c r="F28" t="inlineStr">
        <is>
          <t>VÄSTRA GÖTALANDS LÄN</t>
        </is>
      </c>
      <c r="G28" t="inlineStr">
        <is>
          <t>MARK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HYPERLINK("https://klasma.github.io/Logging_1463/artfynd/A 34899-2025 artfynd.xlsx", "A 34899-2025")</f>
        <v/>
      </c>
      <c r="X28">
        <f>HYPERLINK("https://klasma.github.io/Logging_1463/kartor/A 34899-2025 karta.png", "A 34899-2025")</f>
        <v/>
      </c>
      <c r="Y28">
        <f>HYPERLINK("https://klasma.github.io/Logging_1463/kartor_geotiff/A 34899-2025 georefererad karta.tif", "A 34899-2025")</f>
        <v/>
      </c>
      <c r="AA28">
        <f>HYPERLINK("https://klasma.github.io/Logging_1463/klagomål/A 34899-2025 FSC-klagomål.docx", "A 34899-2025")</f>
        <v/>
      </c>
      <c r="AB28">
        <f>HYPERLINK("https://klasma.github.io/Logging_1463/klagomålsmail/A 34899-2025 FSC-klagomål mail.docx", "A 34899-2025")</f>
        <v/>
      </c>
      <c r="AC28">
        <f>HYPERLINK("https://klasma.github.io/Logging_1463/tillsyn/A 34899-2025 tillsynsbegäran.docx", "A 34899-2025")</f>
        <v/>
      </c>
      <c r="AD28">
        <f>HYPERLINK("https://klasma.github.io/Logging_1463/tillsynsmail/A 34899-2025 tillsynsbegäran mail.docx", "A 34899-2025")</f>
        <v/>
      </c>
      <c r="AE28">
        <f>HYPERLINK("https://klasma.github.io/Logging_1463/fåglar/A 34899-2025 prioriterade fågelarter.docx", "A 34899-2025")</f>
        <v/>
      </c>
    </row>
    <row r="29" ht="15" customHeight="1">
      <c r="A29" t="inlineStr">
        <is>
          <t>A 54675-2024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45618</v>
      </c>
      <c r="E29" s="1" t="n">
        <v>46263</v>
      </c>
      <c r="F29" t="inlineStr">
        <is>
          <t>VÄSTRA GÖTALANDS LÄN</t>
        </is>
      </c>
      <c r="G29" t="inlineStr">
        <is>
          <t>MARK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HYPERLINK("https://klasma.github.io/Logging_1463/artfynd/A 54675-2024 artfynd.xlsx", "A 54675-2024")</f>
        <v/>
      </c>
      <c r="X29">
        <f>HYPERLINK("https://klasma.github.io/Logging_1463/kartor/A 54675-2024 karta.png", "A 54675-2024")</f>
        <v/>
      </c>
      <c r="Y29">
        <f>HYPERLINK("https://klasma.github.io/Logging_1463/kartor_geotiff/A 54675-2024 georefererad karta.tif", "A 54675-2024")</f>
        <v/>
      </c>
      <c r="AA29">
        <f>HYPERLINK("https://klasma.github.io/Logging_1463/klagomål/A 54675-2024 FSC-klagomål.docx", "A 54675-2024")</f>
        <v/>
      </c>
      <c r="AB29">
        <f>HYPERLINK("https://klasma.github.io/Logging_1463/klagomålsmail/A 54675-2024 FSC-klagomål mail.docx", "A 54675-2024")</f>
        <v/>
      </c>
      <c r="AC29">
        <f>HYPERLINK("https://klasma.github.io/Logging_1463/tillsyn/A 54675-2024 tillsynsbegäran.docx", "A 54675-2024")</f>
        <v/>
      </c>
      <c r="AD29">
        <f>HYPERLINK("https://klasma.github.io/Logging_1463/tillsynsmail/A 54675-2024 tillsynsbegäran mail.docx", "A 54675-2024")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46263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46263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46263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HYPERLINK("https://klasma.github.io/Logging_1463/artfynd/A 16277-2025 artfynd.xlsx", "A 16277-2025")</f>
        <v/>
      </c>
      <c r="X32">
        <f>HYPERLINK("https://klasma.github.io/Logging_1463/kartor/A 16277-2025 karta.png", "A 16277-2025")</f>
        <v/>
      </c>
      <c r="Y32">
        <f>HYPERLINK("https://klasma.github.io/Logging_1463/kartor_geotiff/A 16277-2025 georefererad karta.tif", "A 16277-2025")</f>
        <v/>
      </c>
      <c r="AA32">
        <f>HYPERLINK("https://klasma.github.io/Logging_1463/klagomål/A 16277-2025 FSC-klagomål.docx", "A 16277-2025")</f>
        <v/>
      </c>
      <c r="AB32">
        <f>HYPERLINK("https://klasma.github.io/Logging_1463/klagomålsmail/A 16277-2025 FSC-klagomål mail.docx", "A 16277-2025")</f>
        <v/>
      </c>
      <c r="AC32">
        <f>HYPERLINK("https://klasma.github.io/Logging_1463/tillsyn/A 16277-2025 tillsynsbegäran.docx", "A 16277-2025")</f>
        <v/>
      </c>
      <c r="AD32">
        <f>HYPERLINK("https://klasma.github.io/Logging_1463/tillsynsmail/A 16277-2025 tillsynsbegäran mail.docx", "A 16277-2025")</f>
        <v/>
      </c>
    </row>
    <row r="33" ht="15" customHeight="1">
      <c r="A33" t="inlineStr">
        <is>
          <t>A 45268-2023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46263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HYPERLINK("https://klasma.github.io/Logging_1463/artfynd/A 45268-2023 artfynd.xlsx", "A 45268-2023")</f>
        <v/>
      </c>
      <c r="X33">
        <f>HYPERLINK("https://klasma.github.io/Logging_1463/kartor/A 45268-2023 karta.png", "A 45268-2023")</f>
        <v/>
      </c>
      <c r="Y33">
        <f>HYPERLINK("https://klasma.github.io/Logging_1463/kartor_geotiff/A 45268-2023 georefererad karta.tif", "A 45268-2023")</f>
        <v/>
      </c>
      <c r="AA33">
        <f>HYPERLINK("https://klasma.github.io/Logging_1463/klagomål/A 45268-2023 FSC-klagomål.docx", "A 45268-2023")</f>
        <v/>
      </c>
      <c r="AB33">
        <f>HYPERLINK("https://klasma.github.io/Logging_1463/klagomålsmail/A 45268-2023 FSC-klagomål mail.docx", "A 45268-2023")</f>
        <v/>
      </c>
      <c r="AC33">
        <f>HYPERLINK("https://klasma.github.io/Logging_1463/tillsyn/A 45268-2023 tillsynsbegäran.docx", "A 45268-2023")</f>
        <v/>
      </c>
      <c r="AD33">
        <f>HYPERLINK("https://klasma.github.io/Logging_1463/tillsynsmail/A 45268-2023 tillsynsbegäran mail.docx", "A 45268-2023")</f>
        <v/>
      </c>
    </row>
    <row r="34" ht="15" customHeight="1">
      <c r="A34" t="inlineStr">
        <is>
          <t>A 40255-2023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46263</v>
      </c>
      <c r="F34" t="inlineStr">
        <is>
          <t>VÄSTRA GÖTALANDS LÄN</t>
        </is>
      </c>
      <c r="G34" t="inlineStr">
        <is>
          <t>MARK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Revlummer</t>
        </is>
      </c>
      <c r="W34">
        <f>HYPERLINK("https://klasma.github.io/Logging_1463/artfynd/A 40255-2023 artfynd.xlsx", "A 40255-2023")</f>
        <v/>
      </c>
      <c r="X34">
        <f>HYPERLINK("https://klasma.github.io/Logging_1463/kartor/A 40255-2023 karta.png", "A 40255-2023")</f>
        <v/>
      </c>
      <c r="Y34">
        <f>HYPERLINK("https://klasma.github.io/Logging_1463/kartor_geotiff/A 40255-2023 georefererad karta.tif", "A 40255-2023")</f>
        <v/>
      </c>
      <c r="AA34">
        <f>HYPERLINK("https://klasma.github.io/Logging_1463/klagomål/A 40255-2023 FSC-klagomål.docx", "A 40255-2023")</f>
        <v/>
      </c>
      <c r="AB34">
        <f>HYPERLINK("https://klasma.github.io/Logging_1463/klagomålsmail/A 40255-2023 FSC-klagomål mail.docx", "A 40255-2023")</f>
        <v/>
      </c>
      <c r="AC34">
        <f>HYPERLINK("https://klasma.github.io/Logging_1463/tillsyn/A 40255-2023 tillsynsbegäran.docx", "A 40255-2023")</f>
        <v/>
      </c>
      <c r="AD34">
        <f>HYPERLINK("https://klasma.github.io/Logging_1463/tillsynsmail/A 40255-2023 tillsynsbegäran mail.docx", "A 40255-2023")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46263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1634-2024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45306</v>
      </c>
      <c r="E36" s="1" t="n">
        <v>46263</v>
      </c>
      <c r="F36" t="inlineStr">
        <is>
          <t>VÄSTRA GÖTALANDS LÄN</t>
        </is>
      </c>
      <c r="G36" t="inlineStr">
        <is>
          <t>MARK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HYPERLINK("https://klasma.github.io/Logging_1463/artfynd/A 1634-2024 artfynd.xlsx", "A 1634-2024")</f>
        <v/>
      </c>
      <c r="X36">
        <f>HYPERLINK("https://klasma.github.io/Logging_1463/kartor/A 1634-2024 karta.png", "A 1634-2024")</f>
        <v/>
      </c>
      <c r="Y36">
        <f>HYPERLINK("https://klasma.github.io/Logging_1463/kartor_geotiff/A 1634-2024 georefererad karta.tif", "A 1634-2024")</f>
        <v/>
      </c>
      <c r="AA36">
        <f>HYPERLINK("https://klasma.github.io/Logging_1463/klagomål/A 1634-2024 FSC-klagomål.docx", "A 1634-2024")</f>
        <v/>
      </c>
      <c r="AB36">
        <f>HYPERLINK("https://klasma.github.io/Logging_1463/klagomålsmail/A 1634-2024 FSC-klagomål mail.docx", "A 1634-2024")</f>
        <v/>
      </c>
      <c r="AC36">
        <f>HYPERLINK("https://klasma.github.io/Logging_1463/tillsyn/A 1634-2024 tillsynsbegäran.docx", "A 1634-2024")</f>
        <v/>
      </c>
      <c r="AD36">
        <f>HYPERLINK("https://klasma.github.io/Logging_1463/tillsynsmail/A 1634-2024 tillsynsbegäran mail.docx", "A 1634-2024")</f>
        <v/>
      </c>
    </row>
    <row r="37" ht="15" customHeight="1">
      <c r="A37" t="inlineStr">
        <is>
          <t>A 26683-2025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46263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Öring</t>
        </is>
      </c>
      <c r="W37">
        <f>HYPERLINK("https://klasma.github.io/Logging_1463/artfynd/A 26683-2025 artfynd.xlsx", "A 26683-2025")</f>
        <v/>
      </c>
      <c r="X37">
        <f>HYPERLINK("https://klasma.github.io/Logging_1463/kartor/A 26683-2025 karta.png", "A 26683-2025")</f>
        <v/>
      </c>
      <c r="Y37">
        <f>HYPERLINK("https://klasma.github.io/Logging_1463/kartor_geotiff/A 26683-2025 georefererad karta.tif", "A 26683-2025")</f>
        <v/>
      </c>
      <c r="AA37">
        <f>HYPERLINK("https://klasma.github.io/Logging_1463/klagomål/A 26683-2025 FSC-klagomål.docx", "A 26683-2025")</f>
        <v/>
      </c>
      <c r="AB37">
        <f>HYPERLINK("https://klasma.github.io/Logging_1463/klagomålsmail/A 26683-2025 FSC-klagomål mail.docx", "A 26683-2025")</f>
        <v/>
      </c>
      <c r="AC37">
        <f>HYPERLINK("https://klasma.github.io/Logging_1463/tillsyn/A 26683-2025 tillsynsbegäran.docx", "A 26683-2025")</f>
        <v/>
      </c>
      <c r="AD37">
        <f>HYPERLINK("https://klasma.github.io/Logging_1463/tillsynsmail/A 26683-2025 tillsynsbegäran mail.docx", "A 26683-2025")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46263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46263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46263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59662-2022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46263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HYPERLINK("https://klasma.github.io/Logging_1463/artfynd/A 59662-2022 artfynd.xlsx", "A 59662-2022")</f>
        <v/>
      </c>
      <c r="X41">
        <f>HYPERLINK("https://klasma.github.io/Logging_1463/kartor/A 59662-2022 karta.png", "A 59662-2022")</f>
        <v/>
      </c>
      <c r="Y41">
        <f>HYPERLINK("https://klasma.github.io/Logging_1463/kartor_geotiff/A 59662-2022 georefererad karta.tif", "A 59662-2022")</f>
        <v/>
      </c>
      <c r="AA41">
        <f>HYPERLINK("https://klasma.github.io/Logging_1463/klagomål/A 59662-2022 FSC-klagomål.docx", "A 59662-2022")</f>
        <v/>
      </c>
      <c r="AB41">
        <f>HYPERLINK("https://klasma.github.io/Logging_1463/klagomålsmail/A 59662-2022 FSC-klagomål mail.docx", "A 59662-2022")</f>
        <v/>
      </c>
      <c r="AC41">
        <f>HYPERLINK("https://klasma.github.io/Logging_1463/tillsyn/A 59662-2022 tillsynsbegäran.docx", "A 59662-2022")</f>
        <v/>
      </c>
      <c r="AD41">
        <f>HYPERLINK("https://klasma.github.io/Logging_1463/tillsynsmail/A 59662-2022 tillsynsbegäran mail.docx", "A 59662-2022")</f>
        <v/>
      </c>
    </row>
    <row r="42" ht="15" customHeight="1">
      <c r="A42" t="inlineStr">
        <is>
          <t>A 32017-2026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46233</v>
      </c>
      <c r="E42" s="1" t="n">
        <v>46263</v>
      </c>
      <c r="F42" t="inlineStr">
        <is>
          <t>VÄSTRA GÖTALANDS LÄN</t>
        </is>
      </c>
      <c r="G42" t="inlineStr">
        <is>
          <t>MARK</t>
        </is>
      </c>
      <c r="I42" t="n">
        <v>5.1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Sexfläckig bastardsvärmare</t>
        </is>
      </c>
      <c r="W42">
        <f>HYPERLINK("https://klasma.github.io/Logging_1463/artfynd/A 32017-2026 artfynd.xlsx", "A 32017-2026")</f>
        <v/>
      </c>
      <c r="X42">
        <f>HYPERLINK("https://klasma.github.io/Logging_1463/kartor/A 32017-2026 karta.png", "A 32017-2026")</f>
        <v/>
      </c>
      <c r="Y42">
        <f>HYPERLINK("https://klasma.github.io/Logging_1463/kartor_geotiff/A 32017-2026 georefererad karta.tif", "A 32017-2026")</f>
        <v/>
      </c>
      <c r="AA42">
        <f>HYPERLINK("https://klasma.github.io/Logging_1463/klagomål/A 32017-2026 FSC-klagomål.docx", "A 32017-2026")</f>
        <v/>
      </c>
      <c r="AB42">
        <f>HYPERLINK("https://klasma.github.io/Logging_1463/klagomålsmail/A 32017-2026 FSC-klagomål mail.docx", "A 32017-2026")</f>
        <v/>
      </c>
      <c r="AC42">
        <f>HYPERLINK("https://klasma.github.io/Logging_1463/tillsyn/A 32017-2026 tillsynsbegäran.docx", "A 32017-2026")</f>
        <v/>
      </c>
      <c r="AD42">
        <f>HYPERLINK("https://klasma.github.io/Logging_1463/tillsynsmail/A 32017-2026 tillsynsbegäran mail.docx", "A 32017-2026")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46263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S 1461-2025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45786</v>
      </c>
      <c r="E44" s="1" t="n">
        <v>46263</v>
      </c>
      <c r="F44" t="inlineStr">
        <is>
          <t>VÄSTRA GÖTALANDS LÄN</t>
        </is>
      </c>
      <c r="G44" t="inlineStr">
        <is>
          <t>MARK</t>
        </is>
      </c>
      <c r="I44" t="n">
        <v>55.6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HYPERLINK("https://klasma.github.io/Logging_1463/artfynd/S 1461-2025 artfynd.xlsx", "S 1461-2025")</f>
        <v/>
      </c>
      <c r="X44">
        <f>HYPERLINK("https://klasma.github.io/Logging_1463/kartor/S 1461-2025 karta.png", "S 1461-2025")</f>
        <v/>
      </c>
      <c r="Y44">
        <f>HYPERLINK("https://klasma.github.io/Logging_1463/kartor_geotiff/S 1461-2025 georefererad karta.tif", "S 1461-2025")</f>
        <v/>
      </c>
      <c r="AA44">
        <f>HYPERLINK("https://klasma.github.io/Logging_1463/klagomål/S 1461-2025 FSC-klagomål.docx", "S 1461-2025")</f>
        <v/>
      </c>
      <c r="AB44">
        <f>HYPERLINK("https://klasma.github.io/Logging_1463/klagomålsmail/S 1461-2025 FSC-klagomål mail.docx", "S 1461-2025")</f>
        <v/>
      </c>
      <c r="AC44">
        <f>HYPERLINK("https://klasma.github.io/Logging_1463/tillsyn/S 1461-2025 tillsynsbegäran.docx", "S 1461-2025")</f>
        <v/>
      </c>
      <c r="AD44">
        <f>HYPERLINK("https://klasma.github.io/Logging_1463/tillsynsmail/S 1461-2025 tillsynsbegäran mail.docx", "S 1461-2025")</f>
        <v/>
      </c>
    </row>
    <row r="45" ht="15" customHeight="1">
      <c r="A45" t="inlineStr">
        <is>
          <t>S 185-2026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46048</v>
      </c>
      <c r="E45" s="1" t="n">
        <v>46263</v>
      </c>
      <c r="F45" t="inlineStr">
        <is>
          <t>VÄSTRA GÖTALANDS LÄN</t>
        </is>
      </c>
      <c r="G45" t="inlineStr">
        <is>
          <t>MARK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HYPERLINK("https://klasma.github.io/Logging_1463/artfynd/S 185-2026 artfynd.xlsx", "S 185-2026")</f>
        <v/>
      </c>
      <c r="X45">
        <f>HYPERLINK("https://klasma.github.io/Logging_1463/kartor/S 185-2026 karta.png", "S 185-2026")</f>
        <v/>
      </c>
      <c r="Y45">
        <f>HYPERLINK("https://klasma.github.io/Logging_1463/kartor_geotiff/S 185-2026 georefererad karta.tif", "S 185-2026")</f>
        <v/>
      </c>
      <c r="AA45">
        <f>HYPERLINK("https://klasma.github.io/Logging_1463/klagomål/S 185-2026 FSC-klagomål.docx", "S 185-2026")</f>
        <v/>
      </c>
      <c r="AB45">
        <f>HYPERLINK("https://klasma.github.io/Logging_1463/klagomålsmail/S 185-2026 FSC-klagomål mail.docx", "S 185-2026")</f>
        <v/>
      </c>
      <c r="AC45">
        <f>HYPERLINK("https://klasma.github.io/Logging_1463/tillsyn/S 185-2026 tillsynsbegäran.docx", "S 185-2026")</f>
        <v/>
      </c>
      <c r="AD45">
        <f>HYPERLINK("https://klasma.github.io/Logging_1463/tillsynsmail/S 185-2026 tillsynsbegäran mail.docx", "S 185-2026")</f>
        <v/>
      </c>
      <c r="AE45">
        <f>HYPERLINK("https://klasma.github.io/Logging_1463/fåglar/S 185-2026 prioriterade fågelarter.docx", "S 185-2026")</f>
        <v/>
      </c>
    </row>
    <row r="46" ht="15" customHeight="1">
      <c r="A46" t="inlineStr">
        <is>
          <t>S 882-2026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46107</v>
      </c>
      <c r="E46" s="1" t="n">
        <v>46263</v>
      </c>
      <c r="F46" t="inlineStr">
        <is>
          <t>VÄSTRA GÖTALANDS LÄN</t>
        </is>
      </c>
      <c r="G46" t="inlineStr">
        <is>
          <t>MARK</t>
        </is>
      </c>
      <c r="I46" t="n">
        <v>66.40000000000001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882-2026 artfynd.xlsx", "S 882-2026")</f>
        <v/>
      </c>
      <c r="X46">
        <f>HYPERLINK("https://klasma.github.io/Logging_1463/kartor/S 882-2026 karta.png", "S 882-2026")</f>
        <v/>
      </c>
      <c r="Y46">
        <f>HYPERLINK("https://klasma.github.io/Logging_1463/kartor_geotiff/S 882-2026 georefererad karta.tif", "S 882-2026")</f>
        <v/>
      </c>
      <c r="AA46">
        <f>HYPERLINK("https://klasma.github.io/Logging_1463/klagomål/S 882-2026 FSC-klagomål.docx", "S 882-2026")</f>
        <v/>
      </c>
      <c r="AB46">
        <f>HYPERLINK("https://klasma.github.io/Logging_1463/klagomålsmail/S 882-2026 FSC-klagomål mail.docx", "S 882-2026")</f>
        <v/>
      </c>
      <c r="AC46">
        <f>HYPERLINK("https://klasma.github.io/Logging_1463/tillsyn/S 882-2026 tillsynsbegäran.docx", "S 882-2026")</f>
        <v/>
      </c>
      <c r="AD46">
        <f>HYPERLINK("https://klasma.github.io/Logging_1463/tillsynsmail/S 882-2026 tillsynsbegäran mail.docx", "S 882-2026")</f>
        <v/>
      </c>
    </row>
    <row r="47" ht="15" customHeight="1">
      <c r="A47" t="inlineStr">
        <is>
          <t>A 54218-2022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46263</v>
      </c>
      <c r="F47" t="inlineStr">
        <is>
          <t>VÄSTRA GÖTALANDS LÄN</t>
        </is>
      </c>
      <c r="G47" t="inlineStr">
        <is>
          <t>MARK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46263</v>
      </c>
      <c r="F48" t="inlineStr">
        <is>
          <t>VÄSTRA GÖTALANDS LÄN</t>
        </is>
      </c>
      <c r="G48" t="inlineStr">
        <is>
          <t>MARK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46263</v>
      </c>
      <c r="F49" t="inlineStr">
        <is>
          <t>VÄSTRA GÖTALANDS LÄN</t>
        </is>
      </c>
      <c r="G49" t="inlineStr">
        <is>
          <t>MARK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46263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46263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46263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46263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46263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46263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46263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44441</v>
      </c>
      <c r="E57" s="1" t="n">
        <v>46263</v>
      </c>
      <c r="F57" t="inlineStr">
        <is>
          <t>VÄSTRA GÖTALANDS LÄN</t>
        </is>
      </c>
      <c r="G57" t="inlineStr">
        <is>
          <t>MARK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46263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46263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46263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46263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46263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46263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46263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46263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46263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46263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46263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46263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46263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46263</v>
      </c>
      <c r="F71" t="inlineStr">
        <is>
          <t>VÄSTRA GÖTALANDS LÄN</t>
        </is>
      </c>
      <c r="G71" t="inlineStr">
        <is>
          <t>MARK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46263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46263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46263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46263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46263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46263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46263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46263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46263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46263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46263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46263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46263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46263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46263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46263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46263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46263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46263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46263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46263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46263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46263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46263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46263</v>
      </c>
      <c r="F96" t="inlineStr">
        <is>
          <t>VÄSTRA GÖTALANDS LÄN</t>
        </is>
      </c>
      <c r="G96" t="inlineStr">
        <is>
          <t>MARK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46263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46263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46263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46263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46263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46263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46263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46263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46263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46263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44768</v>
      </c>
      <c r="E107" s="1" t="n">
        <v>46263</v>
      </c>
      <c r="F107" t="inlineStr">
        <is>
          <t>VÄSTRA GÖTALANDS LÄN</t>
        </is>
      </c>
      <c r="G107" t="inlineStr">
        <is>
          <t>MARK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46263</v>
      </c>
      <c r="F108" t="inlineStr">
        <is>
          <t>VÄSTRA GÖTALANDS LÄN</t>
        </is>
      </c>
      <c r="G108" t="inlineStr">
        <is>
          <t>MARK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46263</v>
      </c>
      <c r="F109" t="inlineStr">
        <is>
          <t>VÄSTRA GÖTALANDS LÄN</t>
        </is>
      </c>
      <c r="G109" t="inlineStr">
        <is>
          <t>MARK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46263</v>
      </c>
      <c r="F110" t="inlineStr">
        <is>
          <t>VÄSTRA GÖTALANDS LÄN</t>
        </is>
      </c>
      <c r="G110" t="inlineStr">
        <is>
          <t>MARK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46263</v>
      </c>
      <c r="F111" t="inlineStr">
        <is>
          <t>VÄSTRA GÖTALANDS LÄN</t>
        </is>
      </c>
      <c r="G111" t="inlineStr">
        <is>
          <t>MARK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45415</v>
      </c>
      <c r="E112" s="1" t="n">
        <v>46263</v>
      </c>
      <c r="F112" t="inlineStr">
        <is>
          <t>VÄSTRA GÖTALANDS LÄN</t>
        </is>
      </c>
      <c r="G112" t="inlineStr">
        <is>
          <t>MARK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46263</v>
      </c>
      <c r="F113" t="inlineStr">
        <is>
          <t>VÄSTRA GÖTALANDS LÄN</t>
        </is>
      </c>
      <c r="G113" t="inlineStr">
        <is>
          <t>MARK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46263</v>
      </c>
      <c r="F114" t="inlineStr">
        <is>
          <t>VÄSTRA GÖTALANDS LÄN</t>
        </is>
      </c>
      <c r="G114" t="inlineStr">
        <is>
          <t>MARK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46263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46263</v>
      </c>
      <c r="F116" t="inlineStr">
        <is>
          <t>VÄSTRA GÖTALANDS LÄN</t>
        </is>
      </c>
      <c r="G116" t="inlineStr">
        <is>
          <t>MARK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45137</v>
      </c>
      <c r="E117" s="1" t="n">
        <v>46263</v>
      </c>
      <c r="F117" t="inlineStr">
        <is>
          <t>VÄSTRA GÖTALANDS LÄN</t>
        </is>
      </c>
      <c r="G117" t="inlineStr">
        <is>
          <t>MARK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46263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46263</v>
      </c>
      <c r="F119" t="inlineStr">
        <is>
          <t>VÄSTRA GÖTALANDS LÄN</t>
        </is>
      </c>
      <c r="G119" t="inlineStr">
        <is>
          <t>MARK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46263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45745</v>
      </c>
      <c r="E121" s="1" t="n">
        <v>46263</v>
      </c>
      <c r="F121" t="inlineStr">
        <is>
          <t>VÄSTRA GÖTALANDS LÄN</t>
        </is>
      </c>
      <c r="G121" t="inlineStr">
        <is>
          <t>MARK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46263</v>
      </c>
      <c r="F122" t="inlineStr">
        <is>
          <t>VÄSTRA GÖTALANDS LÄN</t>
        </is>
      </c>
      <c r="G122" t="inlineStr">
        <is>
          <t>MARK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46263</v>
      </c>
      <c r="F123" t="inlineStr">
        <is>
          <t>VÄSTRA GÖTALANDS LÄN</t>
        </is>
      </c>
      <c r="G123" t="inlineStr">
        <is>
          <t>MARK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46263</v>
      </c>
      <c r="F124" t="inlineStr">
        <is>
          <t>VÄSTRA GÖTALANDS LÄN</t>
        </is>
      </c>
      <c r="G124" t="inlineStr">
        <is>
          <t>MARK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46263</v>
      </c>
      <c r="F125" t="inlineStr">
        <is>
          <t>VÄSTRA GÖTALANDS LÄN</t>
        </is>
      </c>
      <c r="G125" t="inlineStr">
        <is>
          <t>MARK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46263</v>
      </c>
      <c r="F126" t="inlineStr">
        <is>
          <t>VÄSTRA GÖTALANDS LÄN</t>
        </is>
      </c>
      <c r="G126" t="inlineStr">
        <is>
          <t>MARK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46263</v>
      </c>
      <c r="F127" t="inlineStr">
        <is>
          <t>VÄSTRA GÖTALANDS LÄN</t>
        </is>
      </c>
      <c r="G127" t="inlineStr">
        <is>
          <t>MARK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46263</v>
      </c>
      <c r="F128" t="inlineStr">
        <is>
          <t>VÄSTRA GÖTALANDS LÄN</t>
        </is>
      </c>
      <c r="G128" t="inlineStr">
        <is>
          <t>MARK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46263</v>
      </c>
      <c r="F129" t="inlineStr">
        <is>
          <t>VÄSTRA GÖTALANDS LÄN</t>
        </is>
      </c>
      <c r="G129" t="inlineStr">
        <is>
          <t>MARK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46263</v>
      </c>
      <c r="F130" t="inlineStr">
        <is>
          <t>VÄSTRA GÖTALANDS LÄN</t>
        </is>
      </c>
      <c r="G130" t="inlineStr">
        <is>
          <t>MARK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46263</v>
      </c>
      <c r="F131" t="inlineStr">
        <is>
          <t>VÄSTRA GÖTALANDS LÄN</t>
        </is>
      </c>
      <c r="G131" t="inlineStr">
        <is>
          <t>MARK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46263</v>
      </c>
      <c r="F132" t="inlineStr">
        <is>
          <t>VÄSTRA GÖTALANDS LÄN</t>
        </is>
      </c>
      <c r="G132" t="inlineStr">
        <is>
          <t>MARK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46263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45450</v>
      </c>
      <c r="E134" s="1" t="n">
        <v>46263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55842-2023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45233</v>
      </c>
      <c r="E135" s="1" t="n">
        <v>46263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46263</v>
      </c>
      <c r="F136" t="inlineStr">
        <is>
          <t>VÄSTRA GÖTALANDS LÄN</t>
        </is>
      </c>
      <c r="G136" t="inlineStr">
        <is>
          <t>MARK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46263</v>
      </c>
      <c r="F137" t="inlineStr">
        <is>
          <t>VÄSTRA GÖTALANDS LÄN</t>
        </is>
      </c>
      <c r="G137" t="inlineStr">
        <is>
          <t>MARK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45959</v>
      </c>
      <c r="E138" s="1" t="n">
        <v>46263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46263</v>
      </c>
      <c r="F139" t="inlineStr">
        <is>
          <t>VÄSTRA GÖTALANDS LÄN</t>
        </is>
      </c>
      <c r="G139" t="inlineStr">
        <is>
          <t>MARK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46263</v>
      </c>
      <c r="F140" t="inlineStr">
        <is>
          <t>VÄSTRA GÖTALANDS LÄN</t>
        </is>
      </c>
      <c r="G140" t="inlineStr">
        <is>
          <t>MARK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46263</v>
      </c>
      <c r="F141" t="inlineStr">
        <is>
          <t>VÄSTRA GÖTALANDS LÄN</t>
        </is>
      </c>
      <c r="G141" t="inlineStr">
        <is>
          <t>MARK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46263</v>
      </c>
      <c r="F142" t="inlineStr">
        <is>
          <t>VÄSTRA GÖTALANDS LÄN</t>
        </is>
      </c>
      <c r="G142" t="inlineStr">
        <is>
          <t>MARK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46263</v>
      </c>
      <c r="F143" t="inlineStr">
        <is>
          <t>VÄSTRA GÖTALANDS LÄN</t>
        </is>
      </c>
      <c r="G143" t="inlineStr">
        <is>
          <t>MARK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46263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46263</v>
      </c>
      <c r="F145" t="inlineStr">
        <is>
          <t>VÄSTRA GÖTALANDS LÄN</t>
        </is>
      </c>
      <c r="G145" t="inlineStr">
        <is>
          <t>MARK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46263</v>
      </c>
      <c r="F146" t="inlineStr">
        <is>
          <t>VÄSTRA GÖTALANDS LÄN</t>
        </is>
      </c>
      <c r="G146" t="inlineStr">
        <is>
          <t>MARK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46263</v>
      </c>
      <c r="F147" t="inlineStr">
        <is>
          <t>VÄSTRA GÖTALANDS LÄN</t>
        </is>
      </c>
      <c r="G147" t="inlineStr">
        <is>
          <t>MARK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46263</v>
      </c>
      <c r="F148" t="inlineStr">
        <is>
          <t>VÄSTRA GÖTALANDS LÄN</t>
        </is>
      </c>
      <c r="G148" t="inlineStr">
        <is>
          <t>MARK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46263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46263</v>
      </c>
      <c r="F150" t="inlineStr">
        <is>
          <t>VÄSTRA GÖTALANDS LÄN</t>
        </is>
      </c>
      <c r="G150" t="inlineStr">
        <is>
          <t>MARK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46263</v>
      </c>
      <c r="F151" t="inlineStr">
        <is>
          <t>VÄSTRA GÖTALANDS LÄN</t>
        </is>
      </c>
      <c r="G151" t="inlineStr">
        <is>
          <t>MARK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45059</v>
      </c>
      <c r="E152" s="1" t="n">
        <v>46263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46263</v>
      </c>
      <c r="F153" t="inlineStr">
        <is>
          <t>VÄSTRA GÖTALANDS LÄN</t>
        </is>
      </c>
      <c r="G153" t="inlineStr">
        <is>
          <t>MARK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46263</v>
      </c>
      <c r="F154" t="inlineStr">
        <is>
          <t>VÄSTRA GÖTALANDS LÄN</t>
        </is>
      </c>
      <c r="G154" t="inlineStr">
        <is>
          <t>MARK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46263</v>
      </c>
      <c r="F155" t="inlineStr">
        <is>
          <t>VÄSTRA GÖTALANDS LÄN</t>
        </is>
      </c>
      <c r="G155" t="inlineStr">
        <is>
          <t>MARK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46263</v>
      </c>
      <c r="F156" t="inlineStr">
        <is>
          <t>VÄSTRA GÖTALANDS LÄN</t>
        </is>
      </c>
      <c r="G156" t="inlineStr">
        <is>
          <t>MARK</t>
        </is>
      </c>
      <c r="I156" t="n">
        <v>13.2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46263</v>
      </c>
      <c r="F157" t="inlineStr">
        <is>
          <t>VÄSTRA GÖTALANDS LÄN</t>
        </is>
      </c>
      <c r="G157" t="inlineStr">
        <is>
          <t>MARK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45855</v>
      </c>
      <c r="E158" s="1" t="n">
        <v>46263</v>
      </c>
      <c r="F158" t="inlineStr">
        <is>
          <t>VÄSTRA GÖTALANDS LÄN</t>
        </is>
      </c>
      <c r="G158" t="inlineStr">
        <is>
          <t>MARK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46263</v>
      </c>
      <c r="F159" t="inlineStr">
        <is>
          <t>VÄSTRA GÖTALANDS LÄN</t>
        </is>
      </c>
      <c r="G159" t="inlineStr">
        <is>
          <t>MARK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45322</v>
      </c>
      <c r="E160" s="1" t="n">
        <v>46263</v>
      </c>
      <c r="F160" t="inlineStr">
        <is>
          <t>VÄSTRA GÖTALANDS LÄN</t>
        </is>
      </c>
      <c r="G160" t="inlineStr">
        <is>
          <t>MARK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46263</v>
      </c>
      <c r="F161" t="inlineStr">
        <is>
          <t>VÄSTRA GÖTALANDS LÄN</t>
        </is>
      </c>
      <c r="G161" t="inlineStr">
        <is>
          <t>MARK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45490</v>
      </c>
      <c r="E162" s="1" t="n">
        <v>46263</v>
      </c>
      <c r="F162" t="inlineStr">
        <is>
          <t>VÄSTRA GÖTALANDS LÄN</t>
        </is>
      </c>
      <c r="G162" t="inlineStr">
        <is>
          <t>MARK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46263</v>
      </c>
      <c r="F163" t="inlineStr">
        <is>
          <t>VÄSTRA GÖTALANDS LÄN</t>
        </is>
      </c>
      <c r="G163" t="inlineStr">
        <is>
          <t>MARK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46263</v>
      </c>
      <c r="F164" t="inlineStr">
        <is>
          <t>VÄSTRA GÖTALANDS LÄN</t>
        </is>
      </c>
      <c r="G164" t="inlineStr">
        <is>
          <t>MARK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46263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46263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46263</v>
      </c>
      <c r="F167" t="inlineStr">
        <is>
          <t>VÄSTRA GÖTALANDS LÄN</t>
        </is>
      </c>
      <c r="G167" t="inlineStr">
        <is>
          <t>MARK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46263</v>
      </c>
      <c r="F168" t="inlineStr">
        <is>
          <t>VÄSTRA GÖTALANDS LÄN</t>
        </is>
      </c>
      <c r="G168" t="inlineStr">
        <is>
          <t>MARK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46263</v>
      </c>
      <c r="F169" t="inlineStr">
        <is>
          <t>VÄSTRA GÖTALANDS LÄN</t>
        </is>
      </c>
      <c r="G169" t="inlineStr">
        <is>
          <t>MARK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46263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40609-2025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45896</v>
      </c>
      <c r="E171" s="1" t="n">
        <v>46263</v>
      </c>
      <c r="F171" t="inlineStr">
        <is>
          <t>VÄSTRA GÖTALANDS LÄN</t>
        </is>
      </c>
      <c r="G171" t="inlineStr">
        <is>
          <t>MARK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46263</v>
      </c>
      <c r="F172" t="inlineStr">
        <is>
          <t>VÄSTRA GÖTALANDS LÄN</t>
        </is>
      </c>
      <c r="G172" t="inlineStr">
        <is>
          <t>MARK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46263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46263</v>
      </c>
      <c r="F174" t="inlineStr">
        <is>
          <t>VÄSTRA GÖTALANDS LÄN</t>
        </is>
      </c>
      <c r="G174" t="inlineStr">
        <is>
          <t>MARK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45724</v>
      </c>
      <c r="E175" s="1" t="n">
        <v>46263</v>
      </c>
      <c r="F175" t="inlineStr">
        <is>
          <t>VÄSTRA GÖTALANDS LÄN</t>
        </is>
      </c>
      <c r="G175" t="inlineStr">
        <is>
          <t>MARK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46263</v>
      </c>
      <c r="F176" t="inlineStr">
        <is>
          <t>VÄSTRA GÖTALANDS LÄN</t>
        </is>
      </c>
      <c r="G176" t="inlineStr">
        <is>
          <t>MARK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46263</v>
      </c>
      <c r="F177" t="inlineStr">
        <is>
          <t>VÄSTRA GÖTALANDS LÄN</t>
        </is>
      </c>
      <c r="G177" t="inlineStr">
        <is>
          <t>MARK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34071-2023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45135</v>
      </c>
      <c r="E178" s="1" t="n">
        <v>46263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46263</v>
      </c>
      <c r="F179" t="inlineStr">
        <is>
          <t>VÄSTRA GÖTALANDS LÄN</t>
        </is>
      </c>
      <c r="G179" t="inlineStr">
        <is>
          <t>MARK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46263</v>
      </c>
      <c r="F180" t="inlineStr">
        <is>
          <t>VÄSTRA GÖTALANDS LÄN</t>
        </is>
      </c>
      <c r="G180" t="inlineStr">
        <is>
          <t>MARK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46263</v>
      </c>
      <c r="F181" t="inlineStr">
        <is>
          <t>VÄSTRA GÖTALANDS LÄN</t>
        </is>
      </c>
      <c r="G181" t="inlineStr">
        <is>
          <t>MARK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45342</v>
      </c>
      <c r="E182" s="1" t="n">
        <v>46263</v>
      </c>
      <c r="F182" t="inlineStr">
        <is>
          <t>VÄSTRA GÖTALANDS LÄN</t>
        </is>
      </c>
      <c r="G182" t="inlineStr">
        <is>
          <t>MARK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46263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46263</v>
      </c>
      <c r="F184" t="inlineStr">
        <is>
          <t>VÄSTRA GÖTALANDS LÄN</t>
        </is>
      </c>
      <c r="G184" t="inlineStr">
        <is>
          <t>MARK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46263</v>
      </c>
      <c r="F185" t="inlineStr">
        <is>
          <t>VÄSTRA GÖTALANDS LÄN</t>
        </is>
      </c>
      <c r="G185" t="inlineStr">
        <is>
          <t>MARK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46263</v>
      </c>
      <c r="F186" t="inlineStr">
        <is>
          <t>VÄSTRA GÖTALANDS LÄN</t>
        </is>
      </c>
      <c r="G186" t="inlineStr">
        <is>
          <t>MARK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46263</v>
      </c>
      <c r="F187" t="inlineStr">
        <is>
          <t>VÄSTRA GÖTALANDS LÄN</t>
        </is>
      </c>
      <c r="G187" t="inlineStr">
        <is>
          <t>MARK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46263</v>
      </c>
      <c r="F188" t="inlineStr">
        <is>
          <t>VÄSTRA GÖTALANDS LÄN</t>
        </is>
      </c>
      <c r="G188" t="inlineStr">
        <is>
          <t>MARK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46263</v>
      </c>
      <c r="F189" t="inlineStr">
        <is>
          <t>VÄSTRA GÖTALANDS LÄN</t>
        </is>
      </c>
      <c r="G189" t="inlineStr">
        <is>
          <t>MARK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46263</v>
      </c>
      <c r="F190" t="inlineStr">
        <is>
          <t>VÄSTRA GÖTALANDS LÄN</t>
        </is>
      </c>
      <c r="G190" t="inlineStr">
        <is>
          <t>MARK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46263</v>
      </c>
      <c r="F191" t="inlineStr">
        <is>
          <t>VÄSTRA GÖTALANDS LÄN</t>
        </is>
      </c>
      <c r="G191" t="inlineStr">
        <is>
          <t>MARK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46263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46263</v>
      </c>
      <c r="F193" t="inlineStr">
        <is>
          <t>VÄSTRA GÖTALANDS LÄN</t>
        </is>
      </c>
      <c r="G193" t="inlineStr">
        <is>
          <t>MARK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46263</v>
      </c>
      <c r="F194" t="inlineStr">
        <is>
          <t>VÄSTRA GÖTALANDS LÄN</t>
        </is>
      </c>
      <c r="G194" t="inlineStr">
        <is>
          <t>MARK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45523</v>
      </c>
      <c r="E195" s="1" t="n">
        <v>46263</v>
      </c>
      <c r="F195" t="inlineStr">
        <is>
          <t>VÄSTRA GÖTALANDS LÄN</t>
        </is>
      </c>
      <c r="G195" t="inlineStr">
        <is>
          <t>MARK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46263</v>
      </c>
      <c r="F196" t="inlineStr">
        <is>
          <t>VÄSTRA GÖTALANDS LÄN</t>
        </is>
      </c>
      <c r="G196" t="inlineStr">
        <is>
          <t>MARK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46263</v>
      </c>
      <c r="F197" t="inlineStr">
        <is>
          <t>VÄSTRA GÖTALANDS LÄN</t>
        </is>
      </c>
      <c r="G197" t="inlineStr">
        <is>
          <t>MARK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46263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46263</v>
      </c>
      <c r="F199" t="inlineStr">
        <is>
          <t>VÄSTRA GÖTALANDS LÄN</t>
        </is>
      </c>
      <c r="G199" t="inlineStr">
        <is>
          <t>MARK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46263</v>
      </c>
      <c r="F200" t="inlineStr">
        <is>
          <t>VÄSTRA GÖTALANDS LÄN</t>
        </is>
      </c>
      <c r="G200" t="inlineStr">
        <is>
          <t>MARK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46263</v>
      </c>
      <c r="F201" t="inlineStr">
        <is>
          <t>VÄSTRA GÖTALANDS LÄN</t>
        </is>
      </c>
      <c r="G201" t="inlineStr">
        <is>
          <t>MARK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69264-2021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46263</v>
      </c>
      <c r="F202" t="inlineStr">
        <is>
          <t>VÄSTRA GÖTALANDS LÄN</t>
        </is>
      </c>
      <c r="G202" t="inlineStr">
        <is>
          <t>MARK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46263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46511-2025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45925</v>
      </c>
      <c r="E204" s="1" t="n">
        <v>46263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45925</v>
      </c>
      <c r="E205" s="1" t="n">
        <v>46263</v>
      </c>
      <c r="F205" t="inlineStr">
        <is>
          <t>VÄSTRA GÖTALANDS LÄN</t>
        </is>
      </c>
      <c r="G205" t="inlineStr">
        <is>
          <t>MARK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46263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46263</v>
      </c>
      <c r="F207" t="inlineStr">
        <is>
          <t>VÄSTRA GÖTALANDS LÄN</t>
        </is>
      </c>
      <c r="G207" t="inlineStr">
        <is>
          <t>MARK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46263</v>
      </c>
      <c r="F208" t="inlineStr">
        <is>
          <t>VÄSTRA GÖTALANDS LÄN</t>
        </is>
      </c>
      <c r="G208" t="inlineStr">
        <is>
          <t>MARK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46263</v>
      </c>
      <c r="F209" t="inlineStr">
        <is>
          <t>VÄSTRA GÖTALANDS LÄN</t>
        </is>
      </c>
      <c r="G209" t="inlineStr">
        <is>
          <t>MARK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46263</v>
      </c>
      <c r="F210" t="inlineStr">
        <is>
          <t>VÄSTRA GÖTALANDS LÄN</t>
        </is>
      </c>
      <c r="G210" t="inlineStr">
        <is>
          <t>MARK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46263</v>
      </c>
      <c r="F211" t="inlineStr">
        <is>
          <t>VÄSTRA GÖTALANDS LÄN</t>
        </is>
      </c>
      <c r="G211" t="inlineStr">
        <is>
          <t>MARK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46263</v>
      </c>
      <c r="F212" t="inlineStr">
        <is>
          <t>VÄSTRA GÖTALANDS LÄN</t>
        </is>
      </c>
      <c r="G212" t="inlineStr">
        <is>
          <t>MARK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46263</v>
      </c>
      <c r="F213" t="inlineStr">
        <is>
          <t>VÄSTRA GÖTALANDS LÄN</t>
        </is>
      </c>
      <c r="G213" t="inlineStr">
        <is>
          <t>MARK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46263</v>
      </c>
      <c r="F214" t="inlineStr">
        <is>
          <t>VÄSTRA GÖTALANDS LÄN</t>
        </is>
      </c>
      <c r="G214" t="inlineStr">
        <is>
          <t>MARK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45021</v>
      </c>
      <c r="E215" s="1" t="n">
        <v>46263</v>
      </c>
      <c r="F215" t="inlineStr">
        <is>
          <t>VÄSTRA GÖTALANDS LÄN</t>
        </is>
      </c>
      <c r="G215" t="inlineStr">
        <is>
          <t>MARK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46263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46263</v>
      </c>
      <c r="F217" t="inlineStr">
        <is>
          <t>VÄSTRA GÖTALANDS LÄN</t>
        </is>
      </c>
      <c r="G217" t="inlineStr">
        <is>
          <t>MARK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7050-2022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44603</v>
      </c>
      <c r="E218" s="1" t="n">
        <v>46263</v>
      </c>
      <c r="F218" t="inlineStr">
        <is>
          <t>VÄSTRA GÖTALANDS LÄN</t>
        </is>
      </c>
      <c r="G218" t="inlineStr">
        <is>
          <t>MARK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46263</v>
      </c>
      <c r="F219" t="inlineStr">
        <is>
          <t>VÄSTRA GÖTALANDS LÄN</t>
        </is>
      </c>
      <c r="G219" t="inlineStr">
        <is>
          <t>MARK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45490</v>
      </c>
      <c r="E220" s="1" t="n">
        <v>46263</v>
      </c>
      <c r="F220" t="inlineStr">
        <is>
          <t>VÄSTRA GÖTALANDS LÄN</t>
        </is>
      </c>
      <c r="G220" t="inlineStr">
        <is>
          <t>MARK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45490</v>
      </c>
      <c r="E221" s="1" t="n">
        <v>46263</v>
      </c>
      <c r="F221" t="inlineStr">
        <is>
          <t>VÄSTRA GÖTALANDS LÄN</t>
        </is>
      </c>
      <c r="G221" t="inlineStr">
        <is>
          <t>MARK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46263</v>
      </c>
      <c r="F222" t="inlineStr">
        <is>
          <t>VÄSTRA GÖTALANDS LÄN</t>
        </is>
      </c>
      <c r="G222" t="inlineStr">
        <is>
          <t>MARK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44685</v>
      </c>
      <c r="E223" s="1" t="n">
        <v>46263</v>
      </c>
      <c r="F223" t="inlineStr">
        <is>
          <t>VÄSTRA GÖTALANDS LÄN</t>
        </is>
      </c>
      <c r="G223" t="inlineStr">
        <is>
          <t>MARK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45667</v>
      </c>
      <c r="E224" s="1" t="n">
        <v>46263</v>
      </c>
      <c r="F224" t="inlineStr">
        <is>
          <t>VÄSTRA GÖTALANDS LÄN</t>
        </is>
      </c>
      <c r="G224" t="inlineStr">
        <is>
          <t>MARK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44574</v>
      </c>
      <c r="E225" s="1" t="n">
        <v>46263</v>
      </c>
      <c r="F225" t="inlineStr">
        <is>
          <t>VÄSTRA GÖTALANDS LÄN</t>
        </is>
      </c>
      <c r="G225" t="inlineStr">
        <is>
          <t>MARK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46263</v>
      </c>
      <c r="F226" t="inlineStr">
        <is>
          <t>VÄSTRA GÖTALANDS LÄN</t>
        </is>
      </c>
      <c r="G226" t="inlineStr">
        <is>
          <t>MARK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46263</v>
      </c>
      <c r="F227" t="inlineStr">
        <is>
          <t>VÄSTRA GÖTALANDS LÄN</t>
        </is>
      </c>
      <c r="G227" t="inlineStr">
        <is>
          <t>MARK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14692-2024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45397</v>
      </c>
      <c r="E228" s="1" t="n">
        <v>46263</v>
      </c>
      <c r="F228" t="inlineStr">
        <is>
          <t>VÄSTRA GÖTALANDS LÄN</t>
        </is>
      </c>
      <c r="G228" t="inlineStr">
        <is>
          <t>MARK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46263</v>
      </c>
      <c r="F229" t="inlineStr">
        <is>
          <t>VÄSTRA GÖTALANDS LÄN</t>
        </is>
      </c>
      <c r="G229" t="inlineStr">
        <is>
          <t>MARK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16354-2025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45751</v>
      </c>
      <c r="E230" s="1" t="n">
        <v>46263</v>
      </c>
      <c r="F230" t="inlineStr">
        <is>
          <t>VÄSTRA GÖTALANDS LÄN</t>
        </is>
      </c>
      <c r="G230" t="inlineStr">
        <is>
          <t>MARK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44573-2024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45574</v>
      </c>
      <c r="E231" s="1" t="n">
        <v>46263</v>
      </c>
      <c r="F231" t="inlineStr">
        <is>
          <t>VÄSTRA GÖTALANDS LÄN</t>
        </is>
      </c>
      <c r="G231" t="inlineStr">
        <is>
          <t>MARK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46263</v>
      </c>
      <c r="F232" t="inlineStr">
        <is>
          <t>VÄSTRA GÖTALANDS LÄN</t>
        </is>
      </c>
      <c r="G232" t="inlineStr">
        <is>
          <t>MARK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46263</v>
      </c>
      <c r="F233" t="inlineStr">
        <is>
          <t>VÄSTRA GÖTALANDS LÄN</t>
        </is>
      </c>
      <c r="G233" t="inlineStr">
        <is>
          <t>MARK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46263</v>
      </c>
      <c r="F234" t="inlineStr">
        <is>
          <t>VÄSTRA GÖTALANDS LÄN</t>
        </is>
      </c>
      <c r="G234" t="inlineStr">
        <is>
          <t>MARK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46263</v>
      </c>
      <c r="F235" t="inlineStr">
        <is>
          <t>VÄSTRA GÖTALANDS LÄN</t>
        </is>
      </c>
      <c r="G235" t="inlineStr">
        <is>
          <t>MARK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46263</v>
      </c>
      <c r="F236" t="inlineStr">
        <is>
          <t>VÄSTRA GÖTALANDS LÄN</t>
        </is>
      </c>
      <c r="G236" t="inlineStr">
        <is>
          <t>MARK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46263</v>
      </c>
      <c r="F237" t="inlineStr">
        <is>
          <t>VÄSTRA GÖTALANDS LÄN</t>
        </is>
      </c>
      <c r="G237" t="inlineStr">
        <is>
          <t>MARK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46263</v>
      </c>
      <c r="F238" t="inlineStr">
        <is>
          <t>VÄSTRA GÖTALANDS LÄN</t>
        </is>
      </c>
      <c r="G238" t="inlineStr">
        <is>
          <t>MARK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46263</v>
      </c>
      <c r="F239" t="inlineStr">
        <is>
          <t>VÄSTRA GÖTALANDS LÄN</t>
        </is>
      </c>
      <c r="G239" t="inlineStr">
        <is>
          <t>MARK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45379</v>
      </c>
      <c r="E240" s="1" t="n">
        <v>46263</v>
      </c>
      <c r="F240" t="inlineStr">
        <is>
          <t>VÄSTRA GÖTALANDS LÄN</t>
        </is>
      </c>
      <c r="G240" t="inlineStr">
        <is>
          <t>MARK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46263</v>
      </c>
      <c r="F241" t="inlineStr">
        <is>
          <t>VÄSTRA GÖTALANDS LÄN</t>
        </is>
      </c>
      <c r="G241" t="inlineStr">
        <is>
          <t>MARK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46263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46263</v>
      </c>
      <c r="F243" t="inlineStr">
        <is>
          <t>VÄSTRA GÖTALANDS LÄN</t>
        </is>
      </c>
      <c r="G243" t="inlineStr">
        <is>
          <t>MARK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46263</v>
      </c>
      <c r="F244" t="inlineStr">
        <is>
          <t>VÄSTRA GÖTALANDS LÄN</t>
        </is>
      </c>
      <c r="G244" t="inlineStr">
        <is>
          <t>MARK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46263</v>
      </c>
      <c r="F245" t="inlineStr">
        <is>
          <t>VÄSTRA GÖTALANDS LÄN</t>
        </is>
      </c>
      <c r="G245" t="inlineStr">
        <is>
          <t>MARK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46263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46263</v>
      </c>
      <c r="F247" t="inlineStr">
        <is>
          <t>VÄSTRA GÖTALANDS LÄN</t>
        </is>
      </c>
      <c r="G247" t="inlineStr">
        <is>
          <t>MARK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45370</v>
      </c>
      <c r="E248" s="1" t="n">
        <v>46263</v>
      </c>
      <c r="F248" t="inlineStr">
        <is>
          <t>VÄSTRA GÖTALANDS LÄN</t>
        </is>
      </c>
      <c r="G248" t="inlineStr">
        <is>
          <t>MARK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3655-2023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44950</v>
      </c>
      <c r="E249" s="1" t="n">
        <v>46263</v>
      </c>
      <c r="F249" t="inlineStr">
        <is>
          <t>VÄSTRA GÖTALANDS LÄN</t>
        </is>
      </c>
      <c r="G249" t="inlineStr">
        <is>
          <t>MARK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46263</v>
      </c>
      <c r="F250" t="inlineStr">
        <is>
          <t>VÄSTRA GÖTALANDS LÄN</t>
        </is>
      </c>
      <c r="G250" t="inlineStr">
        <is>
          <t>MARK</t>
        </is>
      </c>
      <c r="I250" t="n">
        <v>10.2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46263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46263</v>
      </c>
      <c r="F252" t="inlineStr">
        <is>
          <t>VÄSTRA GÖTALANDS LÄN</t>
        </is>
      </c>
      <c r="G252" t="inlineStr">
        <is>
          <t>MARK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46263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46263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46263</v>
      </c>
      <c r="F255" t="inlineStr">
        <is>
          <t>VÄSTRA GÖTALANDS LÄN</t>
        </is>
      </c>
      <c r="G255" t="inlineStr">
        <is>
          <t>MARK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46263</v>
      </c>
      <c r="F256" t="inlineStr">
        <is>
          <t>VÄSTRA GÖTALANDS LÄN</t>
        </is>
      </c>
      <c r="G256" t="inlineStr">
        <is>
          <t>MARK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46263</v>
      </c>
      <c r="F257" t="inlineStr">
        <is>
          <t>VÄSTRA GÖTALANDS LÄN</t>
        </is>
      </c>
      <c r="G257" t="inlineStr">
        <is>
          <t>MARK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46263</v>
      </c>
      <c r="F258" t="inlineStr">
        <is>
          <t>VÄSTRA GÖTALANDS LÄN</t>
        </is>
      </c>
      <c r="G258" t="inlineStr">
        <is>
          <t>MARK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46263</v>
      </c>
      <c r="F259" t="inlineStr">
        <is>
          <t>VÄSTRA GÖTALANDS LÄN</t>
        </is>
      </c>
      <c r="G259" t="inlineStr">
        <is>
          <t>MARK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46263</v>
      </c>
      <c r="F260" t="inlineStr">
        <is>
          <t>VÄSTRA GÖTALANDS LÄN</t>
        </is>
      </c>
      <c r="G260" t="inlineStr">
        <is>
          <t>MARK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46263</v>
      </c>
      <c r="F261" t="inlineStr">
        <is>
          <t>VÄSTRA GÖTALANDS LÄN</t>
        </is>
      </c>
      <c r="G261" t="inlineStr">
        <is>
          <t>MARK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46263</v>
      </c>
      <c r="F262" t="inlineStr">
        <is>
          <t>VÄSTRA GÖTALANDS LÄN</t>
        </is>
      </c>
      <c r="G262" t="inlineStr">
        <is>
          <t>MARK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46263</v>
      </c>
      <c r="F263" t="inlineStr">
        <is>
          <t>VÄSTRA GÖTALANDS LÄN</t>
        </is>
      </c>
      <c r="G263" t="inlineStr">
        <is>
          <t>MARK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46263</v>
      </c>
      <c r="F264" t="inlineStr">
        <is>
          <t>VÄSTRA GÖTALANDS LÄN</t>
        </is>
      </c>
      <c r="G264" t="inlineStr">
        <is>
          <t>MARK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46263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9890-2025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45716</v>
      </c>
      <c r="E266" s="1" t="n">
        <v>46263</v>
      </c>
      <c r="F266" t="inlineStr">
        <is>
          <t>VÄSTRA GÖTALANDS LÄN</t>
        </is>
      </c>
      <c r="G266" t="inlineStr">
        <is>
          <t>MARK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46263</v>
      </c>
      <c r="F267" t="inlineStr">
        <is>
          <t>VÄSTRA GÖTALANDS LÄN</t>
        </is>
      </c>
      <c r="G267" t="inlineStr">
        <is>
          <t>MARK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46263</v>
      </c>
      <c r="F268" t="inlineStr">
        <is>
          <t>VÄSTRA GÖTALANDS LÄN</t>
        </is>
      </c>
      <c r="G268" t="inlineStr">
        <is>
          <t>MARK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46263</v>
      </c>
      <c r="F269" t="inlineStr">
        <is>
          <t>VÄSTRA GÖTALANDS LÄN</t>
        </is>
      </c>
      <c r="G269" t="inlineStr">
        <is>
          <t>MARK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45737</v>
      </c>
      <c r="E270" s="1" t="n">
        <v>46263</v>
      </c>
      <c r="F270" t="inlineStr">
        <is>
          <t>VÄSTRA GÖTALANDS LÄN</t>
        </is>
      </c>
      <c r="G270" t="inlineStr">
        <is>
          <t>MARK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46263</v>
      </c>
      <c r="F271" t="inlineStr">
        <is>
          <t>VÄSTRA GÖTALANDS LÄN</t>
        </is>
      </c>
      <c r="G271" t="inlineStr">
        <is>
          <t>MARK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46263</v>
      </c>
      <c r="F272" t="inlineStr">
        <is>
          <t>VÄSTRA GÖTALANDS LÄN</t>
        </is>
      </c>
      <c r="G272" t="inlineStr">
        <is>
          <t>MARK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46263</v>
      </c>
      <c r="F273" t="inlineStr">
        <is>
          <t>VÄSTRA GÖTALANDS LÄN</t>
        </is>
      </c>
      <c r="G273" t="inlineStr">
        <is>
          <t>MARK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44660</v>
      </c>
      <c r="E274" s="1" t="n">
        <v>46263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46263</v>
      </c>
      <c r="F275" t="inlineStr">
        <is>
          <t>VÄSTRA GÖTALANDS LÄN</t>
        </is>
      </c>
      <c r="G275" t="inlineStr">
        <is>
          <t>MARK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44596</v>
      </c>
      <c r="E276" s="1" t="n">
        <v>46263</v>
      </c>
      <c r="F276" t="inlineStr">
        <is>
          <t>VÄSTRA GÖTALANDS LÄN</t>
        </is>
      </c>
      <c r="G276" t="inlineStr">
        <is>
          <t>MARK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46263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46263</v>
      </c>
      <c r="F278" t="inlineStr">
        <is>
          <t>VÄSTRA GÖTALANDS LÄN</t>
        </is>
      </c>
      <c r="G278" t="inlineStr">
        <is>
          <t>MARK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45419</v>
      </c>
      <c r="E279" s="1" t="n">
        <v>46263</v>
      </c>
      <c r="F279" t="inlineStr">
        <is>
          <t>VÄSTRA GÖTALANDS LÄN</t>
        </is>
      </c>
      <c r="G279" t="inlineStr">
        <is>
          <t>MARK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53004-2021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46263</v>
      </c>
      <c r="F280" t="inlineStr">
        <is>
          <t>VÄSTRA GÖTALANDS LÄN</t>
        </is>
      </c>
      <c r="G280" t="inlineStr">
        <is>
          <t>MARK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46263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46263</v>
      </c>
      <c r="F282" t="inlineStr">
        <is>
          <t>VÄSTRA GÖTALANDS LÄN</t>
        </is>
      </c>
      <c r="G282" t="inlineStr">
        <is>
          <t>MARK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44673</v>
      </c>
      <c r="E283" s="1" t="n">
        <v>46263</v>
      </c>
      <c r="F283" t="inlineStr">
        <is>
          <t>VÄSTRA GÖTALANDS LÄN</t>
        </is>
      </c>
      <c r="G283" t="inlineStr">
        <is>
          <t>MARK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25560-2022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44732</v>
      </c>
      <c r="E284" s="1" t="n">
        <v>46263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46263</v>
      </c>
      <c r="F285" t="inlineStr">
        <is>
          <t>VÄSTRA GÖTALANDS LÄN</t>
        </is>
      </c>
      <c r="G285" t="inlineStr">
        <is>
          <t>MARK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46263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44589</v>
      </c>
      <c r="E287" s="1" t="n">
        <v>46263</v>
      </c>
      <c r="F287" t="inlineStr">
        <is>
          <t>VÄSTRA GÖTALANDS LÄN</t>
        </is>
      </c>
      <c r="G287" t="inlineStr">
        <is>
          <t>MARK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46263</v>
      </c>
      <c r="F288" t="inlineStr">
        <is>
          <t>VÄSTRA GÖTALANDS LÄN</t>
        </is>
      </c>
      <c r="G288" t="inlineStr">
        <is>
          <t>MARK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46263</v>
      </c>
      <c r="F289" t="inlineStr">
        <is>
          <t>VÄSTRA GÖTALANDS LÄN</t>
        </is>
      </c>
      <c r="G289" t="inlineStr">
        <is>
          <t>MARK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32885-2025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45839</v>
      </c>
      <c r="E290" s="1" t="n">
        <v>46263</v>
      </c>
      <c r="F290" t="inlineStr">
        <is>
          <t>VÄSTRA GÖTALANDS LÄN</t>
        </is>
      </c>
      <c r="G290" t="inlineStr">
        <is>
          <t>MARK</t>
        </is>
      </c>
      <c r="H290" t="inlineStr">
        <is>
          <t>Sveaskog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46263</v>
      </c>
      <c r="F291" t="inlineStr">
        <is>
          <t>VÄSTRA GÖTALANDS LÄN</t>
        </is>
      </c>
      <c r="G291" t="inlineStr">
        <is>
          <t>MARK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46263</v>
      </c>
      <c r="F292" t="inlineStr">
        <is>
          <t>VÄSTRA GÖTALANDS LÄN</t>
        </is>
      </c>
      <c r="G292" t="inlineStr">
        <is>
          <t>MARK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45268</v>
      </c>
      <c r="E293" s="1" t="n">
        <v>46263</v>
      </c>
      <c r="F293" t="inlineStr">
        <is>
          <t>VÄSTRA GÖTALANDS LÄN</t>
        </is>
      </c>
      <c r="G293" t="inlineStr">
        <is>
          <t>MARK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46263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46263</v>
      </c>
      <c r="F295" t="inlineStr">
        <is>
          <t>VÄSTRA GÖTALANDS LÄN</t>
        </is>
      </c>
      <c r="G295" t="inlineStr">
        <is>
          <t>MARK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46263</v>
      </c>
      <c r="F296" t="inlineStr">
        <is>
          <t>VÄSTRA GÖTALANDS LÄN</t>
        </is>
      </c>
      <c r="G296" t="inlineStr">
        <is>
          <t>MARK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46263</v>
      </c>
      <c r="F297" t="inlineStr">
        <is>
          <t>VÄSTRA GÖTALANDS LÄN</t>
        </is>
      </c>
      <c r="G297" t="inlineStr">
        <is>
          <t>MARK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46263</v>
      </c>
      <c r="F298" t="inlineStr">
        <is>
          <t>VÄSTRA GÖTALANDS LÄN</t>
        </is>
      </c>
      <c r="G298" t="inlineStr">
        <is>
          <t>MARK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46263</v>
      </c>
      <c r="F299" t="inlineStr">
        <is>
          <t>VÄSTRA GÖTALANDS LÄN</t>
        </is>
      </c>
      <c r="G299" t="inlineStr">
        <is>
          <t>MARK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46263</v>
      </c>
      <c r="F300" t="inlineStr">
        <is>
          <t>VÄSTRA GÖTALANDS LÄN</t>
        </is>
      </c>
      <c r="G300" t="inlineStr">
        <is>
          <t>MARK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44993</v>
      </c>
      <c r="E301" s="1" t="n">
        <v>46263</v>
      </c>
      <c r="F301" t="inlineStr">
        <is>
          <t>VÄSTRA GÖTALANDS LÄN</t>
        </is>
      </c>
      <c r="G301" t="inlineStr">
        <is>
          <t>MARK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46263</v>
      </c>
      <c r="F302" t="inlineStr">
        <is>
          <t>VÄSTRA GÖTALANDS LÄN</t>
        </is>
      </c>
      <c r="G302" t="inlineStr">
        <is>
          <t>MARK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46263</v>
      </c>
      <c r="F303" t="inlineStr">
        <is>
          <t>VÄSTRA GÖTALANDS LÄN</t>
        </is>
      </c>
      <c r="G303" t="inlineStr">
        <is>
          <t>MARK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46263</v>
      </c>
      <c r="F304" t="inlineStr">
        <is>
          <t>VÄSTRA GÖTALANDS LÄN</t>
        </is>
      </c>
      <c r="G304" t="inlineStr">
        <is>
          <t>MARK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45789</v>
      </c>
      <c r="E305" s="1" t="n">
        <v>46263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46263</v>
      </c>
      <c r="F306" t="inlineStr">
        <is>
          <t>VÄSTRA GÖTALANDS LÄN</t>
        </is>
      </c>
      <c r="G306" t="inlineStr">
        <is>
          <t>MARK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46263</v>
      </c>
      <c r="F307" t="inlineStr">
        <is>
          <t>VÄSTRA GÖTALANDS LÄN</t>
        </is>
      </c>
      <c r="G307" t="inlineStr">
        <is>
          <t>MARK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46263</v>
      </c>
      <c r="F308" t="inlineStr">
        <is>
          <t>VÄSTRA GÖTALANDS LÄN</t>
        </is>
      </c>
      <c r="G308" t="inlineStr">
        <is>
          <t>MARK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46263</v>
      </c>
      <c r="F309" t="inlineStr">
        <is>
          <t>VÄSTRA GÖTALANDS LÄN</t>
        </is>
      </c>
      <c r="G309" t="inlineStr">
        <is>
          <t>MARK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45807</v>
      </c>
      <c r="E310" s="1" t="n">
        <v>46263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46263</v>
      </c>
      <c r="F311" t="inlineStr">
        <is>
          <t>VÄSTRA GÖTALANDS LÄN</t>
        </is>
      </c>
      <c r="G311" t="inlineStr">
        <is>
          <t>MARK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46263</v>
      </c>
      <c r="F312" t="inlineStr">
        <is>
          <t>VÄSTRA GÖTALANDS LÄN</t>
        </is>
      </c>
      <c r="G312" t="inlineStr">
        <is>
          <t>MARK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46263</v>
      </c>
      <c r="F313" t="inlineStr">
        <is>
          <t>VÄSTRA GÖTALANDS LÄN</t>
        </is>
      </c>
      <c r="G313" t="inlineStr">
        <is>
          <t>MARK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63365-2023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45274</v>
      </c>
      <c r="E314" s="1" t="n">
        <v>46263</v>
      </c>
      <c r="F314" t="inlineStr">
        <is>
          <t>VÄSTRA GÖTALANDS LÄN</t>
        </is>
      </c>
      <c r="G314" t="inlineStr">
        <is>
          <t>MARK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44834</v>
      </c>
      <c r="E315" s="1" t="n">
        <v>46263</v>
      </c>
      <c r="F315" t="inlineStr">
        <is>
          <t>VÄSTRA GÖTALANDS LÄN</t>
        </is>
      </c>
      <c r="G315" t="inlineStr">
        <is>
          <t>MARK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69289-2021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46263</v>
      </c>
      <c r="F316" t="inlineStr">
        <is>
          <t>VÄSTRA GÖTALANDS LÄN</t>
        </is>
      </c>
      <c r="G316" t="inlineStr">
        <is>
          <t>MARK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46263</v>
      </c>
      <c r="F317" t="inlineStr">
        <is>
          <t>VÄSTRA GÖTALANDS LÄN</t>
        </is>
      </c>
      <c r="G317" t="inlineStr">
        <is>
          <t>MARK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46263</v>
      </c>
      <c r="F318" t="inlineStr">
        <is>
          <t>VÄSTRA GÖTALANDS LÄN</t>
        </is>
      </c>
      <c r="G318" t="inlineStr">
        <is>
          <t>MARK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45294</v>
      </c>
      <c r="E319" s="1" t="n">
        <v>46263</v>
      </c>
      <c r="F319" t="inlineStr">
        <is>
          <t>VÄSTRA GÖTALANDS LÄN</t>
        </is>
      </c>
      <c r="G319" t="inlineStr">
        <is>
          <t>MARK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46263</v>
      </c>
      <c r="F320" t="inlineStr">
        <is>
          <t>VÄSTRA GÖTALANDS LÄN</t>
        </is>
      </c>
      <c r="G320" t="inlineStr">
        <is>
          <t>MARK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46263</v>
      </c>
      <c r="F321" t="inlineStr">
        <is>
          <t>VÄSTRA GÖTALANDS LÄN</t>
        </is>
      </c>
      <c r="G321" t="inlineStr">
        <is>
          <t>MARK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46263</v>
      </c>
      <c r="F322" t="inlineStr">
        <is>
          <t>VÄSTRA GÖTALANDS LÄN</t>
        </is>
      </c>
      <c r="G322" t="inlineStr">
        <is>
          <t>MARK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46263</v>
      </c>
      <c r="F323" t="inlineStr">
        <is>
          <t>VÄSTRA GÖTALANDS LÄN</t>
        </is>
      </c>
      <c r="G323" t="inlineStr">
        <is>
          <t>MARK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44909</v>
      </c>
      <c r="E324" s="1" t="n">
        <v>46263</v>
      </c>
      <c r="F324" t="inlineStr">
        <is>
          <t>VÄSTRA GÖTALANDS LÄN</t>
        </is>
      </c>
      <c r="G324" t="inlineStr">
        <is>
          <t>MARK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35903-2025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45862</v>
      </c>
      <c r="E325" s="1" t="n">
        <v>46263</v>
      </c>
      <c r="F325" t="inlineStr">
        <is>
          <t>VÄSTRA GÖTALANDS LÄN</t>
        </is>
      </c>
      <c r="G325" t="inlineStr">
        <is>
          <t>MARK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45867</v>
      </c>
      <c r="E326" s="1" t="n">
        <v>46263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46263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46263</v>
      </c>
      <c r="F328" t="inlineStr">
        <is>
          <t>VÄSTRA GÖTALANDS LÄN</t>
        </is>
      </c>
      <c r="G328" t="inlineStr">
        <is>
          <t>MARK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46263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46263</v>
      </c>
      <c r="F330" t="inlineStr">
        <is>
          <t>VÄSTRA GÖTALANDS LÄN</t>
        </is>
      </c>
      <c r="G330" t="inlineStr">
        <is>
          <t>MARK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44901</v>
      </c>
      <c r="E331" s="1" t="n">
        <v>46263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46263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51497-2022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44869</v>
      </c>
      <c r="E333" s="1" t="n">
        <v>46263</v>
      </c>
      <c r="F333" t="inlineStr">
        <is>
          <t>VÄSTRA GÖTALANDS LÄN</t>
        </is>
      </c>
      <c r="G333" t="inlineStr">
        <is>
          <t>MARK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45324</v>
      </c>
      <c r="E334" s="1" t="n">
        <v>46263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45358</v>
      </c>
      <c r="E335" s="1" t="n">
        <v>46263</v>
      </c>
      <c r="F335" t="inlineStr">
        <is>
          <t>VÄSTRA GÖTALANDS LÄN</t>
        </is>
      </c>
      <c r="G335" t="inlineStr">
        <is>
          <t>MARK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46263</v>
      </c>
      <c r="F336" t="inlineStr">
        <is>
          <t>VÄSTRA GÖTALANDS LÄN</t>
        </is>
      </c>
      <c r="G336" t="inlineStr">
        <is>
          <t>MARK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45580</v>
      </c>
      <c r="E337" s="1" t="n">
        <v>46263</v>
      </c>
      <c r="F337" t="inlineStr">
        <is>
          <t>VÄSTRA GÖTALANDS LÄN</t>
        </is>
      </c>
      <c r="G337" t="inlineStr">
        <is>
          <t>MARK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45124</v>
      </c>
      <c r="E338" s="1" t="n">
        <v>46263</v>
      </c>
      <c r="F338" t="inlineStr">
        <is>
          <t>VÄSTRA GÖTALANDS LÄN</t>
        </is>
      </c>
      <c r="G338" t="inlineStr">
        <is>
          <t>MARK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46263</v>
      </c>
      <c r="F339" t="inlineStr">
        <is>
          <t>VÄSTRA GÖTALANDS LÄN</t>
        </is>
      </c>
      <c r="G339" t="inlineStr">
        <is>
          <t>MARK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44901</v>
      </c>
      <c r="E340" s="1" t="n">
        <v>46263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46263</v>
      </c>
      <c r="F341" t="inlineStr">
        <is>
          <t>VÄSTRA GÖTALANDS LÄN</t>
        </is>
      </c>
      <c r="G341" t="inlineStr">
        <is>
          <t>MARK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45127</v>
      </c>
      <c r="E342" s="1" t="n">
        <v>46263</v>
      </c>
      <c r="F342" t="inlineStr">
        <is>
          <t>VÄSTRA GÖTALANDS LÄN</t>
        </is>
      </c>
      <c r="G342" t="inlineStr">
        <is>
          <t>MARK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46263</v>
      </c>
      <c r="F343" t="inlineStr">
        <is>
          <t>VÄSTRA GÖTALANDS LÄN</t>
        </is>
      </c>
      <c r="G343" t="inlineStr">
        <is>
          <t>MARK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45872</v>
      </c>
      <c r="E344" s="1" t="n">
        <v>46263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44869</v>
      </c>
      <c r="E345" s="1" t="n">
        <v>46263</v>
      </c>
      <c r="F345" t="inlineStr">
        <is>
          <t>VÄSTRA GÖTALANDS LÄN</t>
        </is>
      </c>
      <c r="G345" t="inlineStr">
        <is>
          <t>MARK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46263</v>
      </c>
      <c r="F346" t="inlineStr">
        <is>
          <t>VÄSTRA GÖTALANDS LÄN</t>
        </is>
      </c>
      <c r="G346" t="inlineStr">
        <is>
          <t>MARK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45624</v>
      </c>
      <c r="E347" s="1" t="n">
        <v>46263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44998</v>
      </c>
      <c r="E348" s="1" t="n">
        <v>46263</v>
      </c>
      <c r="F348" t="inlineStr">
        <is>
          <t>VÄSTRA GÖTALANDS LÄN</t>
        </is>
      </c>
      <c r="G348" t="inlineStr">
        <is>
          <t>MARK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46263</v>
      </c>
      <c r="F349" t="inlineStr">
        <is>
          <t>VÄSTRA GÖTALANDS LÄN</t>
        </is>
      </c>
      <c r="G349" t="inlineStr">
        <is>
          <t>MARK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36659-2022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44804</v>
      </c>
      <c r="E350" s="1" t="n">
        <v>46263</v>
      </c>
      <c r="F350" t="inlineStr">
        <is>
          <t>VÄSTRA GÖTALANDS LÄN</t>
        </is>
      </c>
      <c r="G350" t="inlineStr">
        <is>
          <t>MARK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45316</v>
      </c>
      <c r="E351" s="1" t="n">
        <v>46263</v>
      </c>
      <c r="F351" t="inlineStr">
        <is>
          <t>VÄSTRA GÖTALANDS LÄN</t>
        </is>
      </c>
      <c r="G351" t="inlineStr">
        <is>
          <t>MARK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45821</v>
      </c>
      <c r="E352" s="1" t="n">
        <v>46263</v>
      </c>
      <c r="F352" t="inlineStr">
        <is>
          <t>VÄSTRA GÖTALANDS LÄN</t>
        </is>
      </c>
      <c r="G352" t="inlineStr">
        <is>
          <t>MARK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46263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46263</v>
      </c>
      <c r="F354" t="inlineStr">
        <is>
          <t>VÄSTRA GÖTALANDS LÄN</t>
        </is>
      </c>
      <c r="G354" t="inlineStr">
        <is>
          <t>MARK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46263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37060-2025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45875</v>
      </c>
      <c r="E356" s="1" t="n">
        <v>46263</v>
      </c>
      <c r="F356" t="inlineStr">
        <is>
          <t>VÄSTRA GÖTALANDS LÄN</t>
        </is>
      </c>
      <c r="G356" t="inlineStr">
        <is>
          <t>MARK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46263</v>
      </c>
      <c r="F357" t="inlineStr">
        <is>
          <t>VÄSTRA GÖTALANDS LÄN</t>
        </is>
      </c>
      <c r="G357" t="inlineStr">
        <is>
          <t>MARK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46263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45672</v>
      </c>
      <c r="E359" s="1" t="n">
        <v>46263</v>
      </c>
      <c r="F359" t="inlineStr">
        <is>
          <t>VÄSTRA GÖTALANDS LÄN</t>
        </is>
      </c>
      <c r="G359" t="inlineStr">
        <is>
          <t>MARK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44798</v>
      </c>
      <c r="E360" s="1" t="n">
        <v>46263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44973</v>
      </c>
      <c r="E361" s="1" t="n">
        <v>46263</v>
      </c>
      <c r="F361" t="inlineStr">
        <is>
          <t>VÄSTRA GÖTALANDS LÄN</t>
        </is>
      </c>
      <c r="G361" t="inlineStr">
        <is>
          <t>MARK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46263</v>
      </c>
      <c r="F362" t="inlineStr">
        <is>
          <t>VÄSTRA GÖTALANDS LÄN</t>
        </is>
      </c>
      <c r="G362" t="inlineStr">
        <is>
          <t>MARK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62404-2025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46007</v>
      </c>
      <c r="E363" s="1" t="n">
        <v>46263</v>
      </c>
      <c r="F363" t="inlineStr">
        <is>
          <t>VÄSTRA GÖTALANDS LÄN</t>
        </is>
      </c>
      <c r="G363" t="inlineStr">
        <is>
          <t>MARK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46263</v>
      </c>
      <c r="F364" t="inlineStr">
        <is>
          <t>VÄSTRA GÖTALANDS LÄN</t>
        </is>
      </c>
      <c r="G364" t="inlineStr">
        <is>
          <t>MARK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45884</v>
      </c>
      <c r="E365" s="1" t="n">
        <v>46263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46263</v>
      </c>
      <c r="F366" t="inlineStr">
        <is>
          <t>VÄSTRA GÖTALANDS LÄN</t>
        </is>
      </c>
      <c r="G366" t="inlineStr">
        <is>
          <t>MARK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45137</v>
      </c>
      <c r="E367" s="1" t="n">
        <v>46263</v>
      </c>
      <c r="F367" t="inlineStr">
        <is>
          <t>VÄSTRA GÖTALANDS LÄN</t>
        </is>
      </c>
      <c r="G367" t="inlineStr">
        <is>
          <t>MARK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46263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45631</v>
      </c>
      <c r="E369" s="1" t="n">
        <v>46263</v>
      </c>
      <c r="F369" t="inlineStr">
        <is>
          <t>VÄSTRA GÖTALANDS LÄN</t>
        </is>
      </c>
      <c r="G369" t="inlineStr">
        <is>
          <t>MARK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46263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23326-2022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44720</v>
      </c>
      <c r="E371" s="1" t="n">
        <v>46263</v>
      </c>
      <c r="F371" t="inlineStr">
        <is>
          <t>VÄSTRA GÖTALANDS LÄN</t>
        </is>
      </c>
      <c r="G371" t="inlineStr">
        <is>
          <t>MARK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46263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46263</v>
      </c>
      <c r="F373" t="inlineStr">
        <is>
          <t>VÄSTRA GÖTALANDS LÄN</t>
        </is>
      </c>
      <c r="G373" t="inlineStr">
        <is>
          <t>MARK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44694</v>
      </c>
      <c r="E374" s="1" t="n">
        <v>46263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46263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46263</v>
      </c>
      <c r="F376" t="inlineStr">
        <is>
          <t>VÄSTRA GÖTALANDS LÄN</t>
        </is>
      </c>
      <c r="G376" t="inlineStr">
        <is>
          <t>MARK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46263</v>
      </c>
      <c r="F377" t="inlineStr">
        <is>
          <t>VÄSTRA GÖTALANDS LÄN</t>
        </is>
      </c>
      <c r="G377" t="inlineStr">
        <is>
          <t>MARK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44762</v>
      </c>
      <c r="E378" s="1" t="n">
        <v>46263</v>
      </c>
      <c r="F378" t="inlineStr">
        <is>
          <t>VÄSTRA GÖTALANDS LÄN</t>
        </is>
      </c>
      <c r="G378" t="inlineStr">
        <is>
          <t>MARK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46263</v>
      </c>
      <c r="F379" t="inlineStr">
        <is>
          <t>VÄSTRA GÖTALANDS LÄN</t>
        </is>
      </c>
      <c r="G379" t="inlineStr">
        <is>
          <t>MARK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46263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44806</v>
      </c>
      <c r="E381" s="1" t="n">
        <v>46263</v>
      </c>
      <c r="F381" t="inlineStr">
        <is>
          <t>VÄSTRA GÖTALANDS LÄN</t>
        </is>
      </c>
      <c r="G381" t="inlineStr">
        <is>
          <t>MARK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45091</v>
      </c>
      <c r="E382" s="1" t="n">
        <v>46263</v>
      </c>
      <c r="F382" t="inlineStr">
        <is>
          <t>VÄSTRA GÖTALANDS LÄN</t>
        </is>
      </c>
      <c r="G382" t="inlineStr">
        <is>
          <t>MARK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9174-2025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46263</v>
      </c>
      <c r="F383" t="inlineStr">
        <is>
          <t>VÄSTRA GÖTALANDS LÄN</t>
        </is>
      </c>
      <c r="G383" t="inlineStr">
        <is>
          <t>MARK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45637</v>
      </c>
      <c r="E384" s="1" t="n">
        <v>46263</v>
      </c>
      <c r="F384" t="inlineStr">
        <is>
          <t>VÄSTRA GÖTALANDS LÄN</t>
        </is>
      </c>
      <c r="G384" t="inlineStr">
        <is>
          <t>MARK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45238</v>
      </c>
      <c r="E385" s="1" t="n">
        <v>46263</v>
      </c>
      <c r="F385" t="inlineStr">
        <is>
          <t>VÄSTRA GÖTALANDS LÄN</t>
        </is>
      </c>
      <c r="G385" t="inlineStr">
        <is>
          <t>MARK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46263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45709</v>
      </c>
      <c r="E387" s="1" t="n">
        <v>46263</v>
      </c>
      <c r="F387" t="inlineStr">
        <is>
          <t>VÄSTRA GÖTALANDS LÄN</t>
        </is>
      </c>
      <c r="G387" t="inlineStr">
        <is>
          <t>MARK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46263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46263</v>
      </c>
      <c r="F389" t="inlineStr">
        <is>
          <t>VÄSTRA GÖTALANDS LÄN</t>
        </is>
      </c>
      <c r="G389" t="inlineStr">
        <is>
          <t>MARK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45719</v>
      </c>
      <c r="E390" s="1" t="n">
        <v>46263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45724</v>
      </c>
      <c r="E391" s="1" t="n">
        <v>46263</v>
      </c>
      <c r="F391" t="inlineStr">
        <is>
          <t>VÄSTRA GÖTALANDS LÄN</t>
        </is>
      </c>
      <c r="G391" t="inlineStr">
        <is>
          <t>MARK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46263</v>
      </c>
      <c r="F392" t="inlineStr">
        <is>
          <t>VÄSTRA GÖTALANDS LÄN</t>
        </is>
      </c>
      <c r="G392" t="inlineStr">
        <is>
          <t>MARK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46263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45710</v>
      </c>
      <c r="E394" s="1" t="n">
        <v>46263</v>
      </c>
      <c r="F394" t="inlineStr">
        <is>
          <t>VÄSTRA GÖTALANDS LÄN</t>
        </is>
      </c>
      <c r="G394" t="inlineStr">
        <is>
          <t>MARK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46263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46263</v>
      </c>
      <c r="F396" t="inlineStr">
        <is>
          <t>VÄSTRA GÖTALANDS LÄN</t>
        </is>
      </c>
      <c r="G396" t="inlineStr">
        <is>
          <t>MARK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46263</v>
      </c>
      <c r="F397" t="inlineStr">
        <is>
          <t>VÄSTRA GÖTALANDS LÄN</t>
        </is>
      </c>
      <c r="G397" t="inlineStr">
        <is>
          <t>MARK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45750</v>
      </c>
      <c r="E398" s="1" t="n">
        <v>46263</v>
      </c>
      <c r="F398" t="inlineStr">
        <is>
          <t>VÄSTRA GÖTALANDS LÄN</t>
        </is>
      </c>
      <c r="G398" t="inlineStr">
        <is>
          <t>MARK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45022</v>
      </c>
      <c r="E399" s="1" t="n">
        <v>46263</v>
      </c>
      <c r="F399" t="inlineStr">
        <is>
          <t>VÄSTRA GÖTALANDS LÄN</t>
        </is>
      </c>
      <c r="G399" t="inlineStr">
        <is>
          <t>MARK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29665-2023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46263</v>
      </c>
      <c r="F400" t="inlineStr">
        <is>
          <t>VÄSTRA GÖTALANDS LÄN</t>
        </is>
      </c>
      <c r="G400" t="inlineStr">
        <is>
          <t>MARK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45751</v>
      </c>
      <c r="E401" s="1" t="n">
        <v>46263</v>
      </c>
      <c r="F401" t="inlineStr">
        <is>
          <t>VÄSTRA GÖTALANDS LÄN</t>
        </is>
      </c>
      <c r="G401" t="inlineStr">
        <is>
          <t>MARK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45306</v>
      </c>
      <c r="E402" s="1" t="n">
        <v>46263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45475</v>
      </c>
      <c r="E403" s="1" t="n">
        <v>46263</v>
      </c>
      <c r="F403" t="inlineStr">
        <is>
          <t>VÄSTRA GÖTALANDS LÄN</t>
        </is>
      </c>
      <c r="G403" t="inlineStr">
        <is>
          <t>MARK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46263</v>
      </c>
      <c r="F404" t="inlineStr">
        <is>
          <t>VÄSTRA GÖTALANDS LÄN</t>
        </is>
      </c>
      <c r="G404" t="inlineStr">
        <is>
          <t>MARK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46263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46263</v>
      </c>
      <c r="F406" t="inlineStr">
        <is>
          <t>VÄSTRA GÖTALANDS LÄN</t>
        </is>
      </c>
      <c r="G406" t="inlineStr">
        <is>
          <t>MARK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44928</v>
      </c>
      <c r="E407" s="1" t="n">
        <v>46263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54549-2021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44473</v>
      </c>
      <c r="E408" s="1" t="n">
        <v>46263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46263</v>
      </c>
      <c r="F409" t="inlineStr">
        <is>
          <t>VÄSTRA GÖTALANDS LÄN</t>
        </is>
      </c>
      <c r="G409" t="inlineStr">
        <is>
          <t>MARK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46263</v>
      </c>
      <c r="F410" t="inlineStr">
        <is>
          <t>VÄSTRA GÖTALANDS LÄN</t>
        </is>
      </c>
      <c r="G410" t="inlineStr">
        <is>
          <t>MARK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46263</v>
      </c>
      <c r="F411" t="inlineStr">
        <is>
          <t>VÄSTRA GÖTALANDS LÄN</t>
        </is>
      </c>
      <c r="G411" t="inlineStr">
        <is>
          <t>MARK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46263</v>
      </c>
      <c r="F412" t="inlineStr">
        <is>
          <t>VÄSTRA GÖTALANDS LÄN</t>
        </is>
      </c>
      <c r="G412" t="inlineStr">
        <is>
          <t>MARK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51458-2024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45604</v>
      </c>
      <c r="E413" s="1" t="n">
        <v>46263</v>
      </c>
      <c r="F413" t="inlineStr">
        <is>
          <t>VÄSTRA GÖTALANDS LÄN</t>
        </is>
      </c>
      <c r="G413" t="inlineStr">
        <is>
          <t>MARK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46263</v>
      </c>
      <c r="F414" t="inlineStr">
        <is>
          <t>VÄSTRA GÖTALANDS LÄN</t>
        </is>
      </c>
      <c r="G414" t="inlineStr">
        <is>
          <t>MARK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45763</v>
      </c>
      <c r="E415" s="1" t="n">
        <v>46263</v>
      </c>
      <c r="F415" t="inlineStr">
        <is>
          <t>VÄSTRA GÖTALANDS LÄN</t>
        </is>
      </c>
      <c r="G415" t="inlineStr">
        <is>
          <t>MARK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46263</v>
      </c>
      <c r="F416" t="inlineStr">
        <is>
          <t>VÄSTRA GÖTALANDS LÄN</t>
        </is>
      </c>
      <c r="G416" t="inlineStr">
        <is>
          <t>MARK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46263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Kyrkan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46263</v>
      </c>
      <c r="F418" t="inlineStr">
        <is>
          <t>VÄSTRA GÖTALANDS LÄN</t>
        </is>
      </c>
      <c r="G418" t="inlineStr">
        <is>
          <t>MARK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46263</v>
      </c>
      <c r="F419" t="inlineStr">
        <is>
          <t>VÄSTRA GÖTALANDS LÄN</t>
        </is>
      </c>
      <c r="G419" t="inlineStr">
        <is>
          <t>MARK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46263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46263</v>
      </c>
      <c r="F421" t="inlineStr">
        <is>
          <t>VÄSTRA GÖTALANDS LÄN</t>
        </is>
      </c>
      <c r="G421" t="inlineStr">
        <is>
          <t>MARK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46263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53832-2021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46263</v>
      </c>
      <c r="F423" t="inlineStr">
        <is>
          <t>VÄSTRA GÖTALANDS LÄN</t>
        </is>
      </c>
      <c r="G423" t="inlineStr">
        <is>
          <t>MARK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22625-2022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44714</v>
      </c>
      <c r="E424" s="1" t="n">
        <v>46263</v>
      </c>
      <c r="F424" t="inlineStr">
        <is>
          <t>VÄSTRA GÖTALANDS LÄN</t>
        </is>
      </c>
      <c r="G424" t="inlineStr">
        <is>
          <t>MARK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44637</v>
      </c>
      <c r="E425" s="1" t="n">
        <v>46263</v>
      </c>
      <c r="F425" t="inlineStr">
        <is>
          <t>VÄSTRA GÖTALANDS LÄN</t>
        </is>
      </c>
      <c r="G425" t="inlineStr">
        <is>
          <t>MARK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45260</v>
      </c>
      <c r="E426" s="1" t="n">
        <v>46263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46263</v>
      </c>
      <c r="F427" t="inlineStr">
        <is>
          <t>VÄSTRA GÖTALANDS LÄN</t>
        </is>
      </c>
      <c r="G427" t="inlineStr">
        <is>
          <t>MARK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46263</v>
      </c>
      <c r="F428" t="inlineStr">
        <is>
          <t>VÄSTRA GÖTALANDS LÄN</t>
        </is>
      </c>
      <c r="G428" t="inlineStr">
        <is>
          <t>MARK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46263</v>
      </c>
      <c r="F429" t="inlineStr">
        <is>
          <t>VÄSTRA GÖTALANDS LÄN</t>
        </is>
      </c>
      <c r="G429" t="inlineStr">
        <is>
          <t>MARK</t>
        </is>
      </c>
      <c r="H429" t="inlineStr">
        <is>
          <t>Sveaskog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46263</v>
      </c>
      <c r="F430" t="inlineStr">
        <is>
          <t>VÄSTRA GÖTALANDS LÄN</t>
        </is>
      </c>
      <c r="G430" t="inlineStr">
        <is>
          <t>MARK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46046</v>
      </c>
      <c r="E431" s="1" t="n">
        <v>46263</v>
      </c>
      <c r="F431" t="inlineStr">
        <is>
          <t>VÄSTRA GÖTALANDS LÄN</t>
        </is>
      </c>
      <c r="G431" t="inlineStr">
        <is>
          <t>MARK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46263</v>
      </c>
      <c r="F432" t="inlineStr">
        <is>
          <t>VÄSTRA GÖTALANDS LÄN</t>
        </is>
      </c>
      <c r="G432" t="inlineStr">
        <is>
          <t>MARK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46263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46263</v>
      </c>
      <c r="F434" t="inlineStr">
        <is>
          <t>VÄSTRA GÖTALANDS LÄN</t>
        </is>
      </c>
      <c r="G434" t="inlineStr">
        <is>
          <t>MARK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44588</v>
      </c>
      <c r="E435" s="1" t="n">
        <v>46263</v>
      </c>
      <c r="F435" t="inlineStr">
        <is>
          <t>VÄSTRA GÖTALANDS LÄN</t>
        </is>
      </c>
      <c r="G435" t="inlineStr">
        <is>
          <t>MARK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46263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45218</v>
      </c>
      <c r="E437" s="1" t="n">
        <v>46263</v>
      </c>
      <c r="F437" t="inlineStr">
        <is>
          <t>VÄSTRA GÖTALANDS LÄN</t>
        </is>
      </c>
      <c r="G437" t="inlineStr">
        <is>
          <t>MARK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46263</v>
      </c>
      <c r="F438" t="inlineStr">
        <is>
          <t>VÄSTRA GÖTALANDS LÄN</t>
        </is>
      </c>
      <c r="G438" t="inlineStr">
        <is>
          <t>MARK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46263</v>
      </c>
      <c r="F439" t="inlineStr">
        <is>
          <t>VÄSTRA GÖTALANDS LÄN</t>
        </is>
      </c>
      <c r="G439" t="inlineStr">
        <is>
          <t>MARK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46263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46263</v>
      </c>
      <c r="F441" t="inlineStr">
        <is>
          <t>VÄSTRA GÖTALANDS LÄN</t>
        </is>
      </c>
      <c r="G441" t="inlineStr">
        <is>
          <t>MARK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46263</v>
      </c>
      <c r="F442" t="inlineStr">
        <is>
          <t>VÄSTRA GÖTALANDS LÄN</t>
        </is>
      </c>
      <c r="G442" t="inlineStr">
        <is>
          <t>MARK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45156</v>
      </c>
      <c r="E443" s="1" t="n">
        <v>46263</v>
      </c>
      <c r="F443" t="inlineStr">
        <is>
          <t>VÄSTRA GÖTALANDS LÄN</t>
        </is>
      </c>
      <c r="G443" t="inlineStr">
        <is>
          <t>MARK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46263</v>
      </c>
      <c r="F444" t="inlineStr">
        <is>
          <t>VÄSTRA GÖTALANDS LÄN</t>
        </is>
      </c>
      <c r="G444" t="inlineStr">
        <is>
          <t>MARK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46263</v>
      </c>
      <c r="F445" t="inlineStr">
        <is>
          <t>VÄSTRA GÖTALANDS LÄN</t>
        </is>
      </c>
      <c r="G445" t="inlineStr">
        <is>
          <t>MARK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46263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46263</v>
      </c>
      <c r="F447" t="inlineStr">
        <is>
          <t>VÄSTRA GÖTALANDS LÄN</t>
        </is>
      </c>
      <c r="G447" t="inlineStr">
        <is>
          <t>MARK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44489</v>
      </c>
      <c r="E448" s="1" t="n">
        <v>46263</v>
      </c>
      <c r="F448" t="inlineStr">
        <is>
          <t>VÄSTRA GÖTALANDS LÄN</t>
        </is>
      </c>
      <c r="G448" t="inlineStr">
        <is>
          <t>MARK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65121-2023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46263</v>
      </c>
      <c r="F449" t="inlineStr">
        <is>
          <t>VÄSTRA GÖTALANDS LÄN</t>
        </is>
      </c>
      <c r="G449" t="inlineStr">
        <is>
          <t>MARK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45358</v>
      </c>
      <c r="E450" s="1" t="n">
        <v>46263</v>
      </c>
      <c r="F450" t="inlineStr">
        <is>
          <t>VÄSTRA GÖTALANDS LÄN</t>
        </is>
      </c>
      <c r="G450" t="inlineStr">
        <is>
          <t>MARK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46263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46263</v>
      </c>
      <c r="F452" t="inlineStr">
        <is>
          <t>VÄSTRA GÖTALANDS LÄN</t>
        </is>
      </c>
      <c r="G452" t="inlineStr">
        <is>
          <t>MARK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45093</v>
      </c>
      <c r="E453" s="1" t="n">
        <v>46263</v>
      </c>
      <c r="F453" t="inlineStr">
        <is>
          <t>VÄSTRA GÖTALANDS LÄN</t>
        </is>
      </c>
      <c r="G453" t="inlineStr">
        <is>
          <t>MARK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46263</v>
      </c>
      <c r="F454" t="inlineStr">
        <is>
          <t>VÄSTRA GÖTALANDS LÄN</t>
        </is>
      </c>
      <c r="G454" t="inlineStr">
        <is>
          <t>MARK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46263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46263</v>
      </c>
      <c r="F456" t="inlineStr">
        <is>
          <t>VÄSTRA GÖTALANDS LÄN</t>
        </is>
      </c>
      <c r="G456" t="inlineStr">
        <is>
          <t>MARK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46263</v>
      </c>
      <c r="F457" t="inlineStr">
        <is>
          <t>VÄSTRA GÖTALANDS LÄN</t>
        </is>
      </c>
      <c r="G457" t="inlineStr">
        <is>
          <t>MARK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46263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46263</v>
      </c>
      <c r="F459" t="inlineStr">
        <is>
          <t>VÄSTRA GÖTALANDS LÄN</t>
        </is>
      </c>
      <c r="G459" t="inlineStr">
        <is>
          <t>MARK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46263</v>
      </c>
      <c r="F460" t="inlineStr">
        <is>
          <t>VÄSTRA GÖTALANDS LÄN</t>
        </is>
      </c>
      <c r="G460" t="inlineStr">
        <is>
          <t>MARK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29366-2023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45106</v>
      </c>
      <c r="E461" s="1" t="n">
        <v>46263</v>
      </c>
      <c r="F461" t="inlineStr">
        <is>
          <t>VÄSTRA GÖTALANDS LÄN</t>
        </is>
      </c>
      <c r="G461" t="inlineStr">
        <is>
          <t>MARK</t>
        </is>
      </c>
      <c r="H461" t="inlineStr">
        <is>
          <t>Sveaskog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29368-2023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45106</v>
      </c>
      <c r="E462" s="1" t="n">
        <v>46263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46263</v>
      </c>
      <c r="F463" t="inlineStr">
        <is>
          <t>VÄSTRA GÖTALANDS LÄN</t>
        </is>
      </c>
      <c r="G463" t="inlineStr">
        <is>
          <t>MARK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46263</v>
      </c>
      <c r="F464" t="inlineStr">
        <is>
          <t>VÄSTRA GÖTALANDS LÄN</t>
        </is>
      </c>
      <c r="G464" t="inlineStr">
        <is>
          <t>MARK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45443</v>
      </c>
      <c r="E465" s="1" t="n">
        <v>46263</v>
      </c>
      <c r="F465" t="inlineStr">
        <is>
          <t>VÄSTRA GÖTALANDS LÄN</t>
        </is>
      </c>
      <c r="G465" t="inlineStr">
        <is>
          <t>MARK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45699</v>
      </c>
      <c r="E466" s="1" t="n">
        <v>46263</v>
      </c>
      <c r="F466" t="inlineStr">
        <is>
          <t>VÄSTRA GÖTALANDS LÄN</t>
        </is>
      </c>
      <c r="G466" t="inlineStr">
        <is>
          <t>MARK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44973</v>
      </c>
      <c r="E467" s="1" t="n">
        <v>46263</v>
      </c>
      <c r="F467" t="inlineStr">
        <is>
          <t>VÄSTRA GÖTALANDS LÄN</t>
        </is>
      </c>
      <c r="G467" t="inlineStr">
        <is>
          <t>MARK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46263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46263</v>
      </c>
      <c r="F469" t="inlineStr">
        <is>
          <t>VÄSTRA GÖTALANDS LÄN</t>
        </is>
      </c>
      <c r="G469" t="inlineStr">
        <is>
          <t>MARK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11549-2026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46084</v>
      </c>
      <c r="E470" s="1" t="n">
        <v>46263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46263</v>
      </c>
      <c r="F471" t="inlineStr">
        <is>
          <t>VÄSTRA GÖTALANDS LÄN</t>
        </is>
      </c>
      <c r="G471" t="inlineStr">
        <is>
          <t>MARK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46263</v>
      </c>
      <c r="F472" t="inlineStr">
        <is>
          <t>VÄSTRA GÖTALANDS LÄN</t>
        </is>
      </c>
      <c r="G472" t="inlineStr">
        <is>
          <t>MARK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44607</v>
      </c>
      <c r="E473" s="1" t="n">
        <v>46263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11969-2026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46085</v>
      </c>
      <c r="E474" s="1" t="n">
        <v>46263</v>
      </c>
      <c r="F474" t="inlineStr">
        <is>
          <t>VÄSTRA GÖTALANDS LÄN</t>
        </is>
      </c>
      <c r="G474" t="inlineStr">
        <is>
          <t>MARK</t>
        </is>
      </c>
      <c r="H474" t="inlineStr">
        <is>
          <t>Sveaskog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46263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44599</v>
      </c>
      <c r="E476" s="1" t="n">
        <v>46263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46263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46263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46263</v>
      </c>
      <c r="F479" t="inlineStr">
        <is>
          <t>VÄSTRA GÖTALANDS LÄN</t>
        </is>
      </c>
      <c r="G479" t="inlineStr">
        <is>
          <t>MARK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46263</v>
      </c>
      <c r="F480" t="inlineStr">
        <is>
          <t>VÄSTRA GÖTALANDS LÄN</t>
        </is>
      </c>
      <c r="G480" t="inlineStr">
        <is>
          <t>MARK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45332</v>
      </c>
      <c r="E481" s="1" t="n">
        <v>46263</v>
      </c>
      <c r="F481" t="inlineStr">
        <is>
          <t>VÄSTRA GÖTALANDS LÄN</t>
        </is>
      </c>
      <c r="G481" t="inlineStr">
        <is>
          <t>MARK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46263</v>
      </c>
      <c r="F482" t="inlineStr">
        <is>
          <t>VÄSTRA GÖTALANDS LÄN</t>
        </is>
      </c>
      <c r="G482" t="inlineStr">
        <is>
          <t>MARK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45631</v>
      </c>
      <c r="E483" s="1" t="n">
        <v>46263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46263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44610-2023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45189</v>
      </c>
      <c r="E485" s="1" t="n">
        <v>46263</v>
      </c>
      <c r="F485" t="inlineStr">
        <is>
          <t>VÄSTRA GÖTALANDS LÄN</t>
        </is>
      </c>
      <c r="G485" t="inlineStr">
        <is>
          <t>MARK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45686</v>
      </c>
      <c r="E486" s="1" t="n">
        <v>46263</v>
      </c>
      <c r="F486" t="inlineStr">
        <is>
          <t>VÄSTRA GÖTALANDS LÄN</t>
        </is>
      </c>
      <c r="G486" t="inlineStr">
        <is>
          <t>MARK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44648</v>
      </c>
      <c r="E487" s="1" t="n">
        <v>46263</v>
      </c>
      <c r="F487" t="inlineStr">
        <is>
          <t>VÄSTRA GÖTALANDS LÄN</t>
        </is>
      </c>
      <c r="G487" t="inlineStr">
        <is>
          <t>MARK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13003-2026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46092</v>
      </c>
      <c r="E488" s="1" t="n">
        <v>46263</v>
      </c>
      <c r="F488" t="inlineStr">
        <is>
          <t>VÄSTRA GÖTALANDS LÄN</t>
        </is>
      </c>
      <c r="G488" t="inlineStr">
        <is>
          <t>MARK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46096</v>
      </c>
      <c r="E489" s="1" t="n">
        <v>46263</v>
      </c>
      <c r="F489" t="inlineStr">
        <is>
          <t>VÄSTRA GÖTALANDS LÄN</t>
        </is>
      </c>
      <c r="G489" t="inlineStr">
        <is>
          <t>MARK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46263</v>
      </c>
      <c r="F490" t="inlineStr">
        <is>
          <t>VÄSTRA GÖTALANDS LÄN</t>
        </is>
      </c>
      <c r="G490" t="inlineStr">
        <is>
          <t>MARK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46263</v>
      </c>
      <c r="F491" t="inlineStr">
        <is>
          <t>VÄSTRA GÖTALANDS LÄN</t>
        </is>
      </c>
      <c r="G491" t="inlineStr">
        <is>
          <t>MARK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14570-2026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46100</v>
      </c>
      <c r="E492" s="1" t="n">
        <v>46263</v>
      </c>
      <c r="F492" t="inlineStr">
        <is>
          <t>VÄSTRA GÖTALANDS LÄN</t>
        </is>
      </c>
      <c r="G492" t="inlineStr">
        <is>
          <t>MARK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45076</v>
      </c>
      <c r="E493" s="1" t="n">
        <v>46263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46263</v>
      </c>
      <c r="F494" t="inlineStr">
        <is>
          <t>VÄSTRA GÖTALANDS LÄN</t>
        </is>
      </c>
      <c r="G494" t="inlineStr">
        <is>
          <t>MARK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45583-2023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46263</v>
      </c>
      <c r="F495" t="inlineStr">
        <is>
          <t>VÄSTRA GÖTALANDS LÄN</t>
        </is>
      </c>
      <c r="G495" t="inlineStr">
        <is>
          <t>MARK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45236</v>
      </c>
      <c r="E496" s="1" t="n">
        <v>46263</v>
      </c>
      <c r="F496" t="inlineStr">
        <is>
          <t>VÄSTRA GÖTALANDS LÄN</t>
        </is>
      </c>
      <c r="G496" t="inlineStr">
        <is>
          <t>MARK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46263</v>
      </c>
      <c r="F497" t="inlineStr">
        <is>
          <t>VÄSTRA GÖTALANDS LÄN</t>
        </is>
      </c>
      <c r="G497" t="inlineStr">
        <is>
          <t>MARK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46263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46263</v>
      </c>
      <c r="F499" t="inlineStr">
        <is>
          <t>VÄSTRA GÖTALANDS LÄN</t>
        </is>
      </c>
      <c r="G499" t="inlineStr">
        <is>
          <t>MARK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45755</v>
      </c>
      <c r="E500" s="1" t="n">
        <v>46263</v>
      </c>
      <c r="F500" t="inlineStr">
        <is>
          <t>VÄSTRA GÖTALANDS LÄN</t>
        </is>
      </c>
      <c r="G500" t="inlineStr">
        <is>
          <t>MARK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46263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45231</v>
      </c>
      <c r="E502" s="1" t="n">
        <v>46263</v>
      </c>
      <c r="F502" t="inlineStr">
        <is>
          <t>VÄSTRA GÖTALANDS LÄN</t>
        </is>
      </c>
      <c r="G502" t="inlineStr">
        <is>
          <t>MARK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17086-2026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46263</v>
      </c>
      <c r="F503" t="inlineStr">
        <is>
          <t>VÄSTRA GÖTALANDS LÄN</t>
        </is>
      </c>
      <c r="G503" t="inlineStr">
        <is>
          <t>MARK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44734</v>
      </c>
      <c r="E504" s="1" t="n">
        <v>46263</v>
      </c>
      <c r="F504" t="inlineStr">
        <is>
          <t>VÄSTRA GÖTALANDS LÄN</t>
        </is>
      </c>
      <c r="G504" t="inlineStr">
        <is>
          <t>MARK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10583-2022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44624</v>
      </c>
      <c r="E505" s="1" t="n">
        <v>46263</v>
      </c>
      <c r="F505" t="inlineStr">
        <is>
          <t>VÄSTRA GÖTALANDS LÄN</t>
        </is>
      </c>
      <c r="G505" t="inlineStr">
        <is>
          <t>MARK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8977-2025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45713</v>
      </c>
      <c r="E506" s="1" t="n">
        <v>46263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30753-2022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44764</v>
      </c>
      <c r="E507" s="1" t="n">
        <v>46263</v>
      </c>
      <c r="F507" t="inlineStr">
        <is>
          <t>VÄSTRA GÖTALANDS LÄN</t>
        </is>
      </c>
      <c r="G507" t="inlineStr">
        <is>
          <t>MARK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46263</v>
      </c>
      <c r="F508" t="inlineStr">
        <is>
          <t>VÄSTRA GÖTALANDS LÄN</t>
        </is>
      </c>
      <c r="G508" t="inlineStr">
        <is>
          <t>MARK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36786-2023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45154</v>
      </c>
      <c r="E509" s="1" t="n">
        <v>46263</v>
      </c>
      <c r="F509" t="inlineStr">
        <is>
          <t>VÄSTRA GÖTALANDS LÄN</t>
        </is>
      </c>
      <c r="G509" t="inlineStr">
        <is>
          <t>MARK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46263</v>
      </c>
      <c r="F510" t="inlineStr">
        <is>
          <t>VÄSTRA GÖTALANDS LÄN</t>
        </is>
      </c>
      <c r="G510" t="inlineStr">
        <is>
          <t>MARK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43293-2023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45183</v>
      </c>
      <c r="E511" s="1" t="n">
        <v>46263</v>
      </c>
      <c r="F511" t="inlineStr">
        <is>
          <t>VÄSTRA GÖTALANDS LÄN</t>
        </is>
      </c>
      <c r="G511" t="inlineStr">
        <is>
          <t>MARK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43477-2025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45911</v>
      </c>
      <c r="E512" s="1" t="n">
        <v>46263</v>
      </c>
      <c r="F512" t="inlineStr">
        <is>
          <t>VÄSTRA GÖTALANDS LÄN</t>
        </is>
      </c>
      <c r="G512" t="inlineStr">
        <is>
          <t>MARK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44001-2022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44838</v>
      </c>
      <c r="E513" s="1" t="n">
        <v>46263</v>
      </c>
      <c r="F513" t="inlineStr">
        <is>
          <t>VÄSTRA GÖTALANDS LÄN</t>
        </is>
      </c>
      <c r="G513" t="inlineStr">
        <is>
          <t>MARK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45455</v>
      </c>
      <c r="E514" s="1" t="n">
        <v>46263</v>
      </c>
      <c r="F514" t="inlineStr">
        <is>
          <t>VÄSTRA GÖTALANDS LÄN</t>
        </is>
      </c>
      <c r="G514" t="inlineStr">
        <is>
          <t>MARK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46263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45137</v>
      </c>
      <c r="E516" s="1" t="n">
        <v>46263</v>
      </c>
      <c r="F516" t="inlineStr">
        <is>
          <t>VÄSTRA GÖTALANDS LÄN</t>
        </is>
      </c>
      <c r="G516" t="inlineStr">
        <is>
          <t>MARK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56905-2023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46263</v>
      </c>
      <c r="F517" t="inlineStr">
        <is>
          <t>VÄSTRA GÖTALANDS LÄN</t>
        </is>
      </c>
      <c r="G517" t="inlineStr">
        <is>
          <t>MARK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46263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22918-2022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44715</v>
      </c>
      <c r="E519" s="1" t="n">
        <v>46263</v>
      </c>
      <c r="F519" t="inlineStr">
        <is>
          <t>VÄSTRA GÖTALANDS LÄN</t>
        </is>
      </c>
      <c r="G519" t="inlineStr">
        <is>
          <t>MARK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45422</v>
      </c>
      <c r="E520" s="1" t="n">
        <v>46263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46263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Kommuner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45063</v>
      </c>
      <c r="E522" s="1" t="n">
        <v>46263</v>
      </c>
      <c r="F522" t="inlineStr">
        <is>
          <t>VÄSTRA GÖTALANDS LÄN</t>
        </is>
      </c>
      <c r="G522" t="inlineStr">
        <is>
          <t>MARK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59156-2023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46263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45299</v>
      </c>
      <c r="E524" s="1" t="n">
        <v>46263</v>
      </c>
      <c r="F524" t="inlineStr">
        <is>
          <t>VÄSTRA GÖTALANDS LÄN</t>
        </is>
      </c>
      <c r="G524" t="inlineStr">
        <is>
          <t>MARK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45373</v>
      </c>
      <c r="E525" s="1" t="n">
        <v>46263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44935</v>
      </c>
      <c r="E526" s="1" t="n">
        <v>46263</v>
      </c>
      <c r="F526" t="inlineStr">
        <is>
          <t>VÄSTRA GÖTALANDS LÄN</t>
        </is>
      </c>
      <c r="G526" t="inlineStr">
        <is>
          <t>MARK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16159-2025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45750</v>
      </c>
      <c r="E527" s="1" t="n">
        <v>46263</v>
      </c>
      <c r="F527" t="inlineStr">
        <is>
          <t>VÄSTRA GÖTALANDS LÄN</t>
        </is>
      </c>
      <c r="G527" t="inlineStr">
        <is>
          <t>MARK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55689-2022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44888</v>
      </c>
      <c r="E528" s="1" t="n">
        <v>46263</v>
      </c>
      <c r="F528" t="inlineStr">
        <is>
          <t>VÄSTRA GÖTALANDS LÄN</t>
        </is>
      </c>
      <c r="G528" t="inlineStr">
        <is>
          <t>MARK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46263</v>
      </c>
      <c r="F529" t="inlineStr">
        <is>
          <t>VÄSTRA GÖTALANDS LÄN</t>
        </is>
      </c>
      <c r="G529" t="inlineStr">
        <is>
          <t>MARK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46263</v>
      </c>
      <c r="F530" t="inlineStr">
        <is>
          <t>VÄSTRA GÖTALANDS LÄN</t>
        </is>
      </c>
      <c r="G530" t="inlineStr">
        <is>
          <t>MARK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45817</v>
      </c>
      <c r="E531" s="1" t="n">
        <v>46263</v>
      </c>
      <c r="F531" t="inlineStr">
        <is>
          <t>VÄSTRA GÖTALANDS LÄN</t>
        </is>
      </c>
      <c r="G531" t="inlineStr">
        <is>
          <t>MARK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46263</v>
      </c>
      <c r="F532" t="inlineStr">
        <is>
          <t>VÄSTRA GÖTALANDS LÄN</t>
        </is>
      </c>
      <c r="G532" t="inlineStr">
        <is>
          <t>MARK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61486-2021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44501</v>
      </c>
      <c r="E533" s="1" t="n">
        <v>46263</v>
      </c>
      <c r="F533" t="inlineStr">
        <is>
          <t>VÄSTRA GÖTALANDS LÄN</t>
        </is>
      </c>
      <c r="G533" t="inlineStr">
        <is>
          <t>MARK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46263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45755</v>
      </c>
      <c r="E535" s="1" t="n">
        <v>46263</v>
      </c>
      <c r="F535" t="inlineStr">
        <is>
          <t>VÄSTRA GÖTALANDS LÄN</t>
        </is>
      </c>
      <c r="G535" t="inlineStr">
        <is>
          <t>MARK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17006-2025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45755</v>
      </c>
      <c r="E536" s="1" t="n">
        <v>46263</v>
      </c>
      <c r="F536" t="inlineStr">
        <is>
          <t>VÄSTRA GÖTALANDS LÄN</t>
        </is>
      </c>
      <c r="G536" t="inlineStr">
        <is>
          <t>MARK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10469-2023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44987</v>
      </c>
      <c r="E537" s="1" t="n">
        <v>46263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64731-2023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46263</v>
      </c>
      <c r="F538" t="inlineStr">
        <is>
          <t>VÄSTRA GÖTALANDS LÄN</t>
        </is>
      </c>
      <c r="G538" t="inlineStr">
        <is>
          <t>MARK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46263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46263</v>
      </c>
      <c r="F540" t="inlineStr">
        <is>
          <t>VÄSTRA GÖTALANDS LÄN</t>
        </is>
      </c>
      <c r="G540" t="inlineStr">
        <is>
          <t>MARK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4011-2025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46263</v>
      </c>
      <c r="F541" t="inlineStr">
        <is>
          <t>VÄSTRA GÖTALANDS LÄN</t>
        </is>
      </c>
      <c r="G541" t="inlineStr">
        <is>
          <t>MARK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46263</v>
      </c>
      <c r="F542" t="inlineStr">
        <is>
          <t>VÄSTRA GÖTALANDS LÄN</t>
        </is>
      </c>
      <c r="G542" t="inlineStr">
        <is>
          <t>MARK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45397</v>
      </c>
      <c r="E543" s="1" t="n">
        <v>46263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59605-2023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45254</v>
      </c>
      <c r="E544" s="1" t="n">
        <v>46263</v>
      </c>
      <c r="F544" t="inlineStr">
        <is>
          <t>VÄSTRA GÖTALANDS LÄN</t>
        </is>
      </c>
      <c r="G544" t="inlineStr">
        <is>
          <t>MARK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46263</v>
      </c>
      <c r="F545" t="inlineStr">
        <is>
          <t>VÄSTRA GÖTALANDS LÄN</t>
        </is>
      </c>
      <c r="G545" t="inlineStr">
        <is>
          <t>MARK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45428</v>
      </c>
      <c r="E546" s="1" t="n">
        <v>46263</v>
      </c>
      <c r="F546" t="inlineStr">
        <is>
          <t>VÄSTRA GÖTALANDS LÄN</t>
        </is>
      </c>
      <c r="G546" t="inlineStr">
        <is>
          <t>MARK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45137</v>
      </c>
      <c r="E547" s="1" t="n">
        <v>46263</v>
      </c>
      <c r="F547" t="inlineStr">
        <is>
          <t>VÄSTRA GÖTALANDS LÄN</t>
        </is>
      </c>
      <c r="G547" t="inlineStr">
        <is>
          <t>MARK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28640-2025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46263</v>
      </c>
      <c r="F548" t="inlineStr">
        <is>
          <t>VÄSTRA GÖTALANDS LÄN</t>
        </is>
      </c>
      <c r="G548" t="inlineStr">
        <is>
          <t>MARK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45552</v>
      </c>
      <c r="E549" s="1" t="n">
        <v>46263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57766-2022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44897</v>
      </c>
      <c r="E550" s="1" t="n">
        <v>46263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50986-2021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44460</v>
      </c>
      <c r="E551" s="1" t="n">
        <v>46263</v>
      </c>
      <c r="F551" t="inlineStr">
        <is>
          <t>VÄSTRA GÖTALANDS LÄN</t>
        </is>
      </c>
      <c r="G551" t="inlineStr">
        <is>
          <t>MARK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44935</v>
      </c>
      <c r="E552" s="1" t="n">
        <v>46263</v>
      </c>
      <c r="F552" t="inlineStr">
        <is>
          <t>VÄSTRA GÖTALANDS LÄN</t>
        </is>
      </c>
      <c r="G552" t="inlineStr">
        <is>
          <t>MARK</t>
        </is>
      </c>
      <c r="I552" t="n">
        <v>26.5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8403-2022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44610</v>
      </c>
      <c r="E553" s="1" t="n">
        <v>46263</v>
      </c>
      <c r="F553" t="inlineStr">
        <is>
          <t>VÄSTRA GÖTALANDS LÄN</t>
        </is>
      </c>
      <c r="G553" t="inlineStr">
        <is>
          <t>MARK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19608-2024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45432</v>
      </c>
      <c r="E554" s="1" t="n">
        <v>46263</v>
      </c>
      <c r="F554" t="inlineStr">
        <is>
          <t>VÄSTRA GÖTALANDS LÄN</t>
        </is>
      </c>
      <c r="G554" t="inlineStr">
        <is>
          <t>MARK</t>
        </is>
      </c>
      <c r="H554" t="inlineStr">
        <is>
          <t>Sveaskog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36374-2025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45868</v>
      </c>
      <c r="E555" s="1" t="n">
        <v>46263</v>
      </c>
      <c r="F555" t="inlineStr">
        <is>
          <t>VÄSTRA GÖTALANDS LÄN</t>
        </is>
      </c>
      <c r="G555" t="inlineStr">
        <is>
          <t>MARK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44603</v>
      </c>
      <c r="E556" s="1" t="n">
        <v>46263</v>
      </c>
      <c r="F556" t="inlineStr">
        <is>
          <t>VÄSTRA GÖTALANDS LÄN</t>
        </is>
      </c>
      <c r="G556" t="inlineStr">
        <is>
          <t>MARK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46263</v>
      </c>
      <c r="F557" t="inlineStr">
        <is>
          <t>VÄSTRA GÖTALANDS LÄN</t>
        </is>
      </c>
      <c r="G557" t="inlineStr">
        <is>
          <t>MARK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9017-2022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44615</v>
      </c>
      <c r="E558" s="1" t="n">
        <v>46263</v>
      </c>
      <c r="F558" t="inlineStr">
        <is>
          <t>VÄSTRA GÖTALANDS LÄN</t>
        </is>
      </c>
      <c r="G558" t="inlineStr">
        <is>
          <t>MARK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45811</v>
      </c>
      <c r="E559" s="1" t="n">
        <v>46263</v>
      </c>
      <c r="F559" t="inlineStr">
        <is>
          <t>VÄSTRA GÖTALANDS LÄN</t>
        </is>
      </c>
      <c r="G559" t="inlineStr">
        <is>
          <t>MARK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10669-2024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45369</v>
      </c>
      <c r="E560" s="1" t="n">
        <v>46263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45475</v>
      </c>
      <c r="E561" s="1" t="n">
        <v>46263</v>
      </c>
      <c r="F561" t="inlineStr">
        <is>
          <t>VÄSTRA GÖTALANDS LÄN</t>
        </is>
      </c>
      <c r="G561" t="inlineStr">
        <is>
          <t>MARK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44588</v>
      </c>
      <c r="E562" s="1" t="n">
        <v>46263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44588</v>
      </c>
      <c r="E563" s="1" t="n">
        <v>46263</v>
      </c>
      <c r="F563" t="inlineStr">
        <is>
          <t>VÄSTRA GÖTALANDS LÄN</t>
        </is>
      </c>
      <c r="G563" t="inlineStr">
        <is>
          <t>MARK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45147</v>
      </c>
      <c r="E564" s="1" t="n">
        <v>46263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46263</v>
      </c>
      <c r="F565" t="inlineStr">
        <is>
          <t>VÄSTRA GÖTALANDS LÄN</t>
        </is>
      </c>
      <c r="G565" t="inlineStr">
        <is>
          <t>MARK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44937</v>
      </c>
      <c r="E566" s="1" t="n">
        <v>46263</v>
      </c>
      <c r="F566" t="inlineStr">
        <is>
          <t>VÄSTRA GÖTALANDS LÄN</t>
        </is>
      </c>
      <c r="G566" t="inlineStr">
        <is>
          <t>MARK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45332</v>
      </c>
      <c r="E567" s="1" t="n">
        <v>46263</v>
      </c>
      <c r="F567" t="inlineStr">
        <is>
          <t>VÄSTRA GÖTALANDS LÄN</t>
        </is>
      </c>
      <c r="G567" t="inlineStr">
        <is>
          <t>MARK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49408-2024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45595</v>
      </c>
      <c r="E568" s="1" t="n">
        <v>46263</v>
      </c>
      <c r="F568" t="inlineStr">
        <is>
          <t>VÄSTRA GÖTALANDS LÄN</t>
        </is>
      </c>
      <c r="G568" t="inlineStr">
        <is>
          <t>MARK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44760</v>
      </c>
      <c r="E569" s="1" t="n">
        <v>46263</v>
      </c>
      <c r="F569" t="inlineStr">
        <is>
          <t>VÄSTRA GÖTALANDS LÄN</t>
        </is>
      </c>
      <c r="G569" t="inlineStr">
        <is>
          <t>MARK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11575-2022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44631</v>
      </c>
      <c r="E570" s="1" t="n">
        <v>46263</v>
      </c>
      <c r="F570" t="inlineStr">
        <is>
          <t>VÄSTRA GÖTALANDS LÄN</t>
        </is>
      </c>
      <c r="G570" t="inlineStr">
        <is>
          <t>MARK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46263</v>
      </c>
      <c r="F571" t="inlineStr">
        <is>
          <t>VÄSTRA GÖTALANDS LÄN</t>
        </is>
      </c>
      <c r="G571" t="inlineStr">
        <is>
          <t>MARK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14426-2022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44652</v>
      </c>
      <c r="E572" s="1" t="n">
        <v>46263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22914-2022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44715</v>
      </c>
      <c r="E573" s="1" t="n">
        <v>46263</v>
      </c>
      <c r="F573" t="inlineStr">
        <is>
          <t>VÄSTRA GÖTALANDS LÄN</t>
        </is>
      </c>
      <c r="G573" t="inlineStr">
        <is>
          <t>MARK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44982</v>
      </c>
      <c r="E574" s="1" t="n">
        <v>46263</v>
      </c>
      <c r="F574" t="inlineStr">
        <is>
          <t>VÄSTRA GÖTALANDS LÄN</t>
        </is>
      </c>
      <c r="G574" t="inlineStr">
        <is>
          <t>MARK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46263</v>
      </c>
      <c r="F575" t="inlineStr">
        <is>
          <t>VÄSTRA GÖTALANDS LÄN</t>
        </is>
      </c>
      <c r="G575" t="inlineStr">
        <is>
          <t>MARK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16988-2025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46263</v>
      </c>
      <c r="F576" t="inlineStr">
        <is>
          <t>VÄSTRA GÖTALANDS LÄN</t>
        </is>
      </c>
      <c r="G576" t="inlineStr">
        <is>
          <t>MARK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11414-2022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44630</v>
      </c>
      <c r="E577" s="1" t="n">
        <v>46263</v>
      </c>
      <c r="F577" t="inlineStr">
        <is>
          <t>VÄSTRA GÖTALANDS LÄN</t>
        </is>
      </c>
      <c r="G577" t="inlineStr">
        <is>
          <t>MARK</t>
        </is>
      </c>
      <c r="H577" t="inlineStr">
        <is>
          <t>Sveaskog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44978</v>
      </c>
      <c r="E578" s="1" t="n">
        <v>46263</v>
      </c>
      <c r="F578" t="inlineStr">
        <is>
          <t>VÄSTRA GÖTALANDS LÄN</t>
        </is>
      </c>
      <c r="G578" t="inlineStr">
        <is>
          <t>MARK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10890-2024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45370</v>
      </c>
      <c r="E579" s="1" t="n">
        <v>46263</v>
      </c>
      <c r="F579" t="inlineStr">
        <is>
          <t>VÄSTRA GÖTALANDS LÄN</t>
        </is>
      </c>
      <c r="G579" t="inlineStr">
        <is>
          <t>MARK</t>
        </is>
      </c>
      <c r="I579" t="n">
        <v>9.6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44963</v>
      </c>
      <c r="E580" s="1" t="n">
        <v>46263</v>
      </c>
      <c r="F580" t="inlineStr">
        <is>
          <t>VÄSTRA GÖTALANDS LÄN</t>
        </is>
      </c>
      <c r="G580" t="inlineStr">
        <is>
          <t>MARK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46263</v>
      </c>
      <c r="F581" t="inlineStr">
        <is>
          <t>VÄSTRA GÖTALANDS LÄN</t>
        </is>
      </c>
      <c r="G581" t="inlineStr">
        <is>
          <t>MARK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45134</v>
      </c>
      <c r="E582" s="1" t="n">
        <v>46263</v>
      </c>
      <c r="F582" t="inlineStr">
        <is>
          <t>VÄSTRA GÖTALANDS LÄN</t>
        </is>
      </c>
      <c r="G582" t="inlineStr">
        <is>
          <t>MARK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52242-2023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45224</v>
      </c>
      <c r="E583" s="1" t="n">
        <v>46263</v>
      </c>
      <c r="F583" t="inlineStr">
        <is>
          <t>VÄSTRA GÖTALANDS LÄN</t>
        </is>
      </c>
      <c r="G583" t="inlineStr">
        <is>
          <t>MARK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45540</v>
      </c>
      <c r="E584" s="1" t="n">
        <v>46263</v>
      </c>
      <c r="F584" t="inlineStr">
        <is>
          <t>VÄSTRA GÖTALANDS LÄN</t>
        </is>
      </c>
      <c r="G584" t="inlineStr">
        <is>
          <t>MARK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45686</v>
      </c>
      <c r="E585" s="1" t="n">
        <v>46263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45025-2025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45918</v>
      </c>
      <c r="E586" s="1" t="n">
        <v>46263</v>
      </c>
      <c r="F586" t="inlineStr">
        <is>
          <t>VÄSTRA GÖTALANDS LÄN</t>
        </is>
      </c>
      <c r="G586" t="inlineStr">
        <is>
          <t>MARK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46263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Kyrkan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45442</v>
      </c>
      <c r="E588" s="1" t="n">
        <v>46263</v>
      </c>
      <c r="F588" t="inlineStr">
        <is>
          <t>VÄSTRA GÖTALANDS LÄN</t>
        </is>
      </c>
      <c r="G588" t="inlineStr">
        <is>
          <t>MARK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47973-2023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45204</v>
      </c>
      <c r="E589" s="1" t="n">
        <v>46263</v>
      </c>
      <c r="F589" t="inlineStr">
        <is>
          <t>VÄSTRA GÖTALANDS LÄN</t>
        </is>
      </c>
      <c r="G589" t="inlineStr">
        <is>
          <t>MARK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36772-2023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45154</v>
      </c>
      <c r="E590" s="1" t="n">
        <v>46263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44950</v>
      </c>
      <c r="E591" s="1" t="n">
        <v>46263</v>
      </c>
      <c r="F591" t="inlineStr">
        <is>
          <t>VÄSTRA GÖTALANDS LÄN</t>
        </is>
      </c>
      <c r="G591" t="inlineStr">
        <is>
          <t>MARK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22144-2022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46263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45244</v>
      </c>
      <c r="E593" s="1" t="n">
        <v>46263</v>
      </c>
      <c r="F593" t="inlineStr">
        <is>
          <t>VÄSTRA GÖTALANDS LÄN</t>
        </is>
      </c>
      <c r="G593" t="inlineStr">
        <is>
          <t>MARK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45534</v>
      </c>
      <c r="E594" s="1" t="n">
        <v>46263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45484</v>
      </c>
      <c r="E595" s="1" t="n">
        <v>46263</v>
      </c>
      <c r="F595" t="inlineStr">
        <is>
          <t>VÄSTRA GÖTALANDS LÄN</t>
        </is>
      </c>
      <c r="G595" t="inlineStr">
        <is>
          <t>MARK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45016</v>
      </c>
      <c r="E596" s="1" t="n">
        <v>46263</v>
      </c>
      <c r="F596" t="inlineStr">
        <is>
          <t>VÄSTRA GÖTALANDS LÄN</t>
        </is>
      </c>
      <c r="G596" t="inlineStr">
        <is>
          <t>MARK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6775-2024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46263</v>
      </c>
      <c r="F597" t="inlineStr">
        <is>
          <t>VÄSTRA GÖTALANDS LÄN</t>
        </is>
      </c>
      <c r="G597" t="inlineStr">
        <is>
          <t>MARK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36287-2022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44803</v>
      </c>
      <c r="E598" s="1" t="n">
        <v>46263</v>
      </c>
      <c r="F598" t="inlineStr">
        <is>
          <t>VÄSTRA GÖTALANDS LÄN</t>
        </is>
      </c>
      <c r="G598" t="inlineStr">
        <is>
          <t>MARK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45526</v>
      </c>
      <c r="E599" s="1" t="n">
        <v>46263</v>
      </c>
      <c r="F599" t="inlineStr">
        <is>
          <t>VÄSTRA GÖTALANDS LÄN</t>
        </is>
      </c>
      <c r="G599" t="inlineStr">
        <is>
          <t>MARK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47448-2023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45202</v>
      </c>
      <c r="E600" s="1" t="n">
        <v>46263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15667-2023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45021</v>
      </c>
      <c r="E601" s="1" t="n">
        <v>46263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53022-2024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45611</v>
      </c>
      <c r="E602" s="1" t="n">
        <v>46263</v>
      </c>
      <c r="F602" t="inlineStr">
        <is>
          <t>VÄSTRA GÖTALANDS LÄN</t>
        </is>
      </c>
      <c r="G602" t="inlineStr">
        <is>
          <t>MARK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46263</v>
      </c>
      <c r="F603" t="inlineStr">
        <is>
          <t>VÄSTRA GÖTALANDS LÄN</t>
        </is>
      </c>
      <c r="G603" t="inlineStr">
        <is>
          <t>MARK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46263</v>
      </c>
      <c r="F604" t="inlineStr">
        <is>
          <t>VÄSTRA GÖTALANDS LÄN</t>
        </is>
      </c>
      <c r="G604" t="inlineStr">
        <is>
          <t>MARK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49282-2023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45210</v>
      </c>
      <c r="E605" s="1" t="n">
        <v>46263</v>
      </c>
      <c r="F605" t="inlineStr">
        <is>
          <t>VÄSTRA GÖTALANDS LÄN</t>
        </is>
      </c>
      <c r="G605" t="inlineStr">
        <is>
          <t>MARK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44813</v>
      </c>
      <c r="E606" s="1" t="n">
        <v>46263</v>
      </c>
      <c r="F606" t="inlineStr">
        <is>
          <t>VÄSTRA GÖTALANDS LÄN</t>
        </is>
      </c>
      <c r="G606" t="inlineStr">
        <is>
          <t>MARK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38799-2022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44813</v>
      </c>
      <c r="E607" s="1" t="n">
        <v>46263</v>
      </c>
      <c r="F607" t="inlineStr">
        <is>
          <t>VÄSTRA GÖTALANDS LÄN</t>
        </is>
      </c>
      <c r="G607" t="inlineStr">
        <is>
          <t>MARK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45680</v>
      </c>
      <c r="E608" s="1" t="n">
        <v>46263</v>
      </c>
      <c r="F608" t="inlineStr">
        <is>
          <t>VÄSTRA GÖTALANDS LÄN</t>
        </is>
      </c>
      <c r="G608" t="inlineStr">
        <is>
          <t>MARK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8597-2024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45355</v>
      </c>
      <c r="E609" s="1" t="n">
        <v>46263</v>
      </c>
      <c r="F609" t="inlineStr">
        <is>
          <t>VÄSTRA GÖTALANDS LÄN</t>
        </is>
      </c>
      <c r="G609" t="inlineStr">
        <is>
          <t>MARK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61269-2023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46263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27469-2024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45474</v>
      </c>
      <c r="E611" s="1" t="n">
        <v>46263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Kommuner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51446-2024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46263</v>
      </c>
      <c r="F612" t="inlineStr">
        <is>
          <t>VÄSTRA GÖTALANDS LÄN</t>
        </is>
      </c>
      <c r="G612" t="inlineStr">
        <is>
          <t>MARK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11663-2022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44632</v>
      </c>
      <c r="E613" s="1" t="n">
        <v>46263</v>
      </c>
      <c r="F613" t="inlineStr">
        <is>
          <t>VÄSTRA GÖTALANDS LÄN</t>
        </is>
      </c>
      <c r="G613" t="inlineStr">
        <is>
          <t>MARK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44994</v>
      </c>
      <c r="E614" s="1" t="n">
        <v>46263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45030</v>
      </c>
      <c r="E615" s="1" t="n">
        <v>46263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Sveaskog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44579</v>
      </c>
      <c r="E616" s="1" t="n">
        <v>46263</v>
      </c>
      <c r="F616" t="inlineStr">
        <is>
          <t>VÄSTRA GÖTALANDS LÄN</t>
        </is>
      </c>
      <c r="G616" t="inlineStr">
        <is>
          <t>MARK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46263</v>
      </c>
      <c r="F617" t="inlineStr">
        <is>
          <t>VÄSTRA GÖTALANDS LÄN</t>
        </is>
      </c>
      <c r="G617" t="inlineStr">
        <is>
          <t>MARK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52673-2023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45219</v>
      </c>
      <c r="E618" s="1" t="n">
        <v>46263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37737-2022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44810</v>
      </c>
      <c r="E619" s="1" t="n">
        <v>46263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21710-2026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46263</v>
      </c>
      <c r="F620" t="inlineStr">
        <is>
          <t>VÄSTRA GÖTALANDS LÄN</t>
        </is>
      </c>
      <c r="G620" t="inlineStr">
        <is>
          <t>MARK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28257-2024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46263</v>
      </c>
      <c r="F621" t="inlineStr">
        <is>
          <t>VÄSTRA GÖTALANDS LÄN</t>
        </is>
      </c>
      <c r="G621" t="inlineStr">
        <is>
          <t>MARK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9496-2024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45359</v>
      </c>
      <c r="E622" s="1" t="n">
        <v>46263</v>
      </c>
      <c r="F622" t="inlineStr">
        <is>
          <t>VÄSTRA GÖTALANDS LÄN</t>
        </is>
      </c>
      <c r="G622" t="inlineStr">
        <is>
          <t>MARK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45359</v>
      </c>
      <c r="E623" s="1" t="n">
        <v>46263</v>
      </c>
      <c r="F623" t="inlineStr">
        <is>
          <t>VÄSTRA GÖTALANDS LÄN</t>
        </is>
      </c>
      <c r="G623" t="inlineStr">
        <is>
          <t>MARK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46263</v>
      </c>
      <c r="F624" t="inlineStr">
        <is>
          <t>VÄSTRA GÖTALANDS LÄN</t>
        </is>
      </c>
      <c r="G624" t="inlineStr">
        <is>
          <t>MARK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44982</v>
      </c>
      <c r="E625" s="1" t="n">
        <v>46263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46263</v>
      </c>
      <c r="F626" t="inlineStr">
        <is>
          <t>VÄSTRA GÖTALANDS LÄN</t>
        </is>
      </c>
      <c r="G626" t="inlineStr">
        <is>
          <t>MARK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23634-2023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45077</v>
      </c>
      <c r="E627" s="1" t="n">
        <v>46263</v>
      </c>
      <c r="F627" t="inlineStr">
        <is>
          <t>VÄSTRA GÖTALANDS LÄN</t>
        </is>
      </c>
      <c r="G627" t="inlineStr">
        <is>
          <t>MARK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12330-2024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45378</v>
      </c>
      <c r="E628" s="1" t="n">
        <v>46263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45332</v>
      </c>
      <c r="E629" s="1" t="n">
        <v>46263</v>
      </c>
      <c r="F629" t="inlineStr">
        <is>
          <t>VÄSTRA GÖTALANDS LÄN</t>
        </is>
      </c>
      <c r="G629" t="inlineStr">
        <is>
          <t>MARK</t>
        </is>
      </c>
      <c r="I629" t="n">
        <v>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45343</v>
      </c>
      <c r="E630" s="1" t="n">
        <v>46263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7720-2024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46263</v>
      </c>
      <c r="F631" t="inlineStr">
        <is>
          <t>VÄSTRA GÖTALANDS LÄN</t>
        </is>
      </c>
      <c r="G631" t="inlineStr">
        <is>
          <t>MARK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45490</v>
      </c>
      <c r="E632" s="1" t="n">
        <v>46263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46263</v>
      </c>
      <c r="F633" t="inlineStr">
        <is>
          <t>VÄSTRA GÖTALANDS LÄN</t>
        </is>
      </c>
      <c r="G633" t="inlineStr">
        <is>
          <t>MARK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46263</v>
      </c>
      <c r="F634" t="inlineStr">
        <is>
          <t>VÄSTRA GÖTALANDS LÄN</t>
        </is>
      </c>
      <c r="G634" t="inlineStr">
        <is>
          <t>MARK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57168-2024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45629</v>
      </c>
      <c r="E635" s="1" t="n">
        <v>46263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45301</v>
      </c>
      <c r="E636" s="1" t="n">
        <v>46263</v>
      </c>
      <c r="F636" t="inlineStr">
        <is>
          <t>VÄSTRA GÖTALANDS LÄN</t>
        </is>
      </c>
      <c r="G636" t="inlineStr">
        <is>
          <t>MARK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20664-2025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45776</v>
      </c>
      <c r="E637" s="1" t="n">
        <v>46263</v>
      </c>
      <c r="F637" t="inlineStr">
        <is>
          <t>VÄSTRA GÖTALANDS LÄN</t>
        </is>
      </c>
      <c r="G637" t="inlineStr">
        <is>
          <t>MARK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17539-2026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46120</v>
      </c>
      <c r="E638" s="1" t="n">
        <v>46263</v>
      </c>
      <c r="F638" t="inlineStr">
        <is>
          <t>VÄSTRA GÖTALANDS LÄN</t>
        </is>
      </c>
      <c r="G638" t="inlineStr">
        <is>
          <t>MARK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23410-2026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46162</v>
      </c>
      <c r="E639" s="1" t="n">
        <v>46263</v>
      </c>
      <c r="F639" t="inlineStr">
        <is>
          <t>VÄSTRA GÖTALANDS LÄN</t>
        </is>
      </c>
      <c r="G639" t="inlineStr">
        <is>
          <t>MARK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46165</v>
      </c>
      <c r="E640" s="1" t="n">
        <v>46263</v>
      </c>
      <c r="F640" t="inlineStr">
        <is>
          <t>VÄSTRA GÖTALANDS LÄN</t>
        </is>
      </c>
      <c r="G640" t="inlineStr">
        <is>
          <t>MARK</t>
        </is>
      </c>
      <c r="H640" t="inlineStr">
        <is>
          <t>Sveaskog</t>
        </is>
      </c>
      <c r="I640" t="n">
        <v>17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20613-2025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45776</v>
      </c>
      <c r="E641" s="1" t="n">
        <v>46263</v>
      </c>
      <c r="F641" t="inlineStr">
        <is>
          <t>VÄSTRA GÖTALANDS LÄN</t>
        </is>
      </c>
      <c r="G641" t="inlineStr">
        <is>
          <t>MARK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24298-2026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46263</v>
      </c>
      <c r="F642" t="inlineStr">
        <is>
          <t>VÄSTRA GÖTALANDS LÄN</t>
        </is>
      </c>
      <c r="G642" t="inlineStr">
        <is>
          <t>MARK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46263</v>
      </c>
      <c r="F643" t="inlineStr">
        <is>
          <t>VÄSTRA GÖTALANDS LÄN</t>
        </is>
      </c>
      <c r="G643" t="inlineStr">
        <is>
          <t>MARK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46263</v>
      </c>
      <c r="F644" t="inlineStr">
        <is>
          <t>VÄSTRA GÖTALANDS LÄN</t>
        </is>
      </c>
      <c r="G644" t="inlineStr">
        <is>
          <t>MARK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46263</v>
      </c>
      <c r="F645" t="inlineStr">
        <is>
          <t>VÄSTRA GÖTALANDS LÄN</t>
        </is>
      </c>
      <c r="G645" t="inlineStr">
        <is>
          <t>MARK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46231</v>
      </c>
      <c r="E646" s="1" t="n">
        <v>46263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Kyrkan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27451-2026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46189</v>
      </c>
      <c r="E647" s="1" t="n">
        <v>46263</v>
      </c>
      <c r="F647" t="inlineStr">
        <is>
          <t>VÄSTRA GÖTALANDS LÄN</t>
        </is>
      </c>
      <c r="G647" t="inlineStr">
        <is>
          <t>MARK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46263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Kyrkan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32025-2026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46233</v>
      </c>
      <c r="E649" s="1" t="n">
        <v>46263</v>
      </c>
      <c r="F649" t="inlineStr">
        <is>
          <t>VÄSTRA GÖTALANDS LÄN</t>
        </is>
      </c>
      <c r="G649" t="inlineStr">
        <is>
          <t>MARK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46263</v>
      </c>
      <c r="F650" t="inlineStr">
        <is>
          <t>VÄSTRA GÖTALANDS LÄN</t>
        </is>
      </c>
      <c r="G650" t="inlineStr">
        <is>
          <t>MARK</t>
        </is>
      </c>
      <c r="I650" t="n">
        <v>11.4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27675-2026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46190</v>
      </c>
      <c r="E651" s="1" t="n">
        <v>46263</v>
      </c>
      <c r="F651" t="inlineStr">
        <is>
          <t>VÄSTRA GÖTALANDS LÄN</t>
        </is>
      </c>
      <c r="G651" t="inlineStr">
        <is>
          <t>MARK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46233</v>
      </c>
      <c r="E652" s="1" t="n">
        <v>46263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48759-2025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45936</v>
      </c>
      <c r="E653" s="1" t="n">
        <v>46263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46191</v>
      </c>
      <c r="E654" s="1" t="n">
        <v>46263</v>
      </c>
      <c r="F654" t="inlineStr">
        <is>
          <t>VÄSTRA GÖTALANDS LÄN</t>
        </is>
      </c>
      <c r="G654" t="inlineStr">
        <is>
          <t>MARK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27579-2026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46263</v>
      </c>
      <c r="F655" t="inlineStr">
        <is>
          <t>VÄSTRA GÖTALANDS LÄN</t>
        </is>
      </c>
      <c r="G655" t="inlineStr">
        <is>
          <t>MARK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46263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27720-2026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46191</v>
      </c>
      <c r="E657" s="1" t="n">
        <v>46263</v>
      </c>
      <c r="F657" t="inlineStr">
        <is>
          <t>VÄSTRA GÖTALANDS LÄN</t>
        </is>
      </c>
      <c r="G657" t="inlineStr">
        <is>
          <t>MARK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46263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28020-2026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46195</v>
      </c>
      <c r="E659" s="1" t="n">
        <v>46263</v>
      </c>
      <c r="F659" t="inlineStr">
        <is>
          <t>VÄSTRA GÖTALANDS LÄN</t>
        </is>
      </c>
      <c r="G659" t="inlineStr">
        <is>
          <t>MARK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46263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46263</v>
      </c>
      <c r="F661" t="inlineStr">
        <is>
          <t>VÄSTRA GÖTALANDS LÄN</t>
        </is>
      </c>
      <c r="G661" t="inlineStr">
        <is>
          <t>MARK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28086-2026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46195</v>
      </c>
      <c r="E662" s="1" t="n">
        <v>46263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46263</v>
      </c>
      <c r="F663" t="inlineStr">
        <is>
          <t>VÄSTRA GÖTALANDS LÄN</t>
        </is>
      </c>
      <c r="G663" t="inlineStr">
        <is>
          <t>MARK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46263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46263</v>
      </c>
      <c r="F665" t="inlineStr">
        <is>
          <t>VÄSTRA GÖTALANDS LÄN</t>
        </is>
      </c>
      <c r="G665" t="inlineStr">
        <is>
          <t>MARK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32236-2026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46237</v>
      </c>
      <c r="E666" s="1" t="n">
        <v>46263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46263</v>
      </c>
      <c r="F667" t="inlineStr">
        <is>
          <t>VÄSTRA GÖTALANDS LÄN</t>
        </is>
      </c>
      <c r="G667" t="inlineStr">
        <is>
          <t>MARK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46263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28628-2026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46263</v>
      </c>
      <c r="F669" t="inlineStr">
        <is>
          <t>VÄSTRA GÖTALANDS LÄN</t>
        </is>
      </c>
      <c r="G669" t="inlineStr">
        <is>
          <t>MARK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46263</v>
      </c>
      <c r="F670" t="inlineStr">
        <is>
          <t>VÄSTRA GÖTALANDS LÄN</t>
        </is>
      </c>
      <c r="G670" t="inlineStr">
        <is>
          <t>MARK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46263</v>
      </c>
      <c r="F671" t="inlineStr">
        <is>
          <t>VÄSTRA GÖTALANDS LÄN</t>
        </is>
      </c>
      <c r="G671" t="inlineStr">
        <is>
          <t>MARK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46263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46216</v>
      </c>
      <c r="E673" s="1" t="n">
        <v>46263</v>
      </c>
      <c r="F673" t="inlineStr">
        <is>
          <t>VÄSTRA GÖTALANDS LÄN</t>
        </is>
      </c>
      <c r="G673" t="inlineStr">
        <is>
          <t>MARK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35069-2026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46259</v>
      </c>
      <c r="E674" s="1" t="n">
        <v>46263</v>
      </c>
      <c r="F674" t="inlineStr">
        <is>
          <t>VÄSTRA GÖTALANDS LÄN</t>
        </is>
      </c>
      <c r="G674" t="inlineStr">
        <is>
          <t>MARK</t>
        </is>
      </c>
      <c r="I674" t="n">
        <v>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46263</v>
      </c>
      <c r="F675" t="inlineStr">
        <is>
          <t>VÄSTRA GÖTALANDS LÄN</t>
        </is>
      </c>
      <c r="G675" t="inlineStr">
        <is>
          <t>MARK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46263</v>
      </c>
      <c r="F676" t="inlineStr">
        <is>
          <t>VÄSTRA GÖTALANDS LÄN</t>
        </is>
      </c>
      <c r="G676" t="inlineStr">
        <is>
          <t>MARK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46263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46263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46263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506-2023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44966</v>
      </c>
      <c r="E680" s="1" t="n">
        <v>46263</v>
      </c>
      <c r="F680" t="inlineStr">
        <is>
          <t>VÄSTRA GÖTALANDS LÄN</t>
        </is>
      </c>
      <c r="G680" t="inlineStr">
        <is>
          <t>MARK</t>
        </is>
      </c>
      <c r="H680" t="inlineStr">
        <is>
          <t>Kommuner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479-2024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45343</v>
      </c>
      <c r="E681" s="1" t="n">
        <v>46263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505-2023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46263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45785</v>
      </c>
      <c r="E683" s="1" t="n">
        <v>46263</v>
      </c>
      <c r="F683" t="inlineStr">
        <is>
          <t>VÄSTRA GÖTALANDS LÄN</t>
        </is>
      </c>
      <c r="G683" t="inlineStr">
        <is>
          <t>MARK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45839</v>
      </c>
      <c r="E684" s="1" t="n">
        <v>46263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Sveaskog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2083-2025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45841</v>
      </c>
      <c r="E685" s="1" t="n">
        <v>46263</v>
      </c>
      <c r="F685" t="inlineStr">
        <is>
          <t>VÄSTRA GÖTALANDS LÄN</t>
        </is>
      </c>
      <c r="G685" t="inlineStr">
        <is>
          <t>MARK</t>
        </is>
      </c>
      <c r="I685" t="n">
        <v>14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495-2025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45705</v>
      </c>
      <c r="E686" s="1" t="n">
        <v>46263</v>
      </c>
      <c r="F686" t="inlineStr">
        <is>
          <t>VÄSTRA GÖTALANDS LÄN</t>
        </is>
      </c>
      <c r="G686" t="inlineStr">
        <is>
          <t>MARK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4332-2023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45261</v>
      </c>
      <c r="E687" s="1" t="n">
        <v>46263</v>
      </c>
      <c r="F687" t="inlineStr">
        <is>
          <t>VÄSTRA GÖTALANDS LÄN</t>
        </is>
      </c>
      <c r="G687" t="inlineStr">
        <is>
          <t>MARK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1201-2023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45022</v>
      </c>
      <c r="E688" s="1" t="n">
        <v>46263</v>
      </c>
      <c r="F688" t="inlineStr">
        <is>
          <t>VÄSTRA GÖTALANDS LÄN</t>
        </is>
      </c>
      <c r="G688" t="inlineStr">
        <is>
          <t>MARK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143-2026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46263</v>
      </c>
      <c r="F689" t="inlineStr">
        <is>
          <t>VÄSTRA GÖTALANDS LÄN</t>
        </is>
      </c>
      <c r="G689" t="inlineStr">
        <is>
          <t>MARK</t>
        </is>
      </c>
      <c r="I689" t="n">
        <v>46.7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880-2026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46107</v>
      </c>
      <c r="E690" s="1" t="n">
        <v>46263</v>
      </c>
      <c r="F690" t="inlineStr">
        <is>
          <t>VÄSTRA GÖTALANDS LÄN</t>
        </is>
      </c>
      <c r="G690" t="inlineStr">
        <is>
          <t>MARK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1111-2026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46132</v>
      </c>
      <c r="E691" s="1" t="n">
        <v>46263</v>
      </c>
      <c r="F691" t="inlineStr">
        <is>
          <t>VÄSTRA GÖTALANDS LÄN</t>
        </is>
      </c>
      <c r="G691" t="inlineStr">
        <is>
          <t>MARK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2222-2026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46258</v>
      </c>
      <c r="E692" s="1" t="n">
        <v>46263</v>
      </c>
      <c r="F692" t="inlineStr">
        <is>
          <t>VÄSTRA GÖTALANDS LÄN</t>
        </is>
      </c>
      <c r="G692" t="inlineStr">
        <is>
          <t>MARK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2026-08-29T01:53:36Z</dcterms:created>
  <dcterms:modified xmlns:dcterms="http://purl.org/dc/terms/" xmlns:xsi="http://www.w3.org/2001/XMLSchema-instance" xsi:type="dcterms:W3CDTF">2026-08-29T01:53:37Z</dcterms:modified>
</cp:coreProperties>
</file>