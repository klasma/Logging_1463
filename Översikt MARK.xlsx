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46292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46292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46292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46292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46292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46292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46292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46292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46292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46292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46292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46292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46292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46292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46292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46292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46292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46292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46292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46292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46292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46292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363-2026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46027</v>
      </c>
      <c r="E26" s="1" t="n">
        <v>46292</v>
      </c>
      <c r="F26" t="inlineStr">
        <is>
          <t>VÄSTRA GÖTALANDS LÄN</t>
        </is>
      </c>
      <c r="G26" t="inlineStr">
        <is>
          <t>MARK</t>
        </is>
      </c>
      <c r="I26" t="n">
        <v>9.800000000000001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Öring</t>
        </is>
      </c>
      <c r="W26">
        <f>HYPERLINK("https://klasma.github.io/Logging_1463/artfynd/A 363-2026 artfynd.xlsx", "A 363-2026")</f>
        <v/>
      </c>
      <c r="X26">
        <f>HYPERLINK("https://klasma.github.io/Logging_1463/kartor/A 363-2026 karta.png", "A 363-2026")</f>
        <v/>
      </c>
      <c r="Y26">
        <f>HYPERLINK("https://klasma.github.io/Logging_1463/kartor_geotiff/A 363-2026 georefererad karta.tif", "A 363-2026")</f>
        <v/>
      </c>
      <c r="AA26">
        <f>HYPERLINK("https://klasma.github.io/Logging_1463/klagomål/A 363-2026 FSC-klagomål.docx", "A 363-2026")</f>
        <v/>
      </c>
      <c r="AB26">
        <f>HYPERLINK("https://klasma.github.io/Logging_1463/klagomålsmail/A 363-2026 FSC-klagomål mail.docx", "A 363-2026")</f>
        <v/>
      </c>
      <c r="AC26">
        <f>HYPERLINK("https://klasma.github.io/Logging_1463/tillsyn/A 363-2026 tillsynsbegäran.docx", "A 363-2026")</f>
        <v/>
      </c>
      <c r="AD26">
        <f>HYPERLINK("https://klasma.github.io/Logging_1463/tillsynsmail/A 363-2026 tillsynsbegäran mail.docx", "A 363-2026")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46292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46292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46292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46292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46292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46292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16277-2025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45751</v>
      </c>
      <c r="E33" s="1" t="n">
        <v>46292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HYPERLINK("https://klasma.github.io/Logging_1463/artfynd/A 16277-2025 artfynd.xlsx", "A 16277-2025")</f>
        <v/>
      </c>
      <c r="X33">
        <f>HYPERLINK("https://klasma.github.io/Logging_1463/kartor/A 16277-2025 karta.png", "A 16277-2025")</f>
        <v/>
      </c>
      <c r="Y33">
        <f>HYPERLINK("https://klasma.github.io/Logging_1463/kartor_geotiff/A 16277-2025 georefererad karta.tif", "A 16277-2025")</f>
        <v/>
      </c>
      <c r="AA33">
        <f>HYPERLINK("https://klasma.github.io/Logging_1463/klagomål/A 16277-2025 FSC-klagomål.docx", "A 16277-2025")</f>
        <v/>
      </c>
      <c r="AB33">
        <f>HYPERLINK("https://klasma.github.io/Logging_1463/klagomålsmail/A 16277-2025 FSC-klagomål mail.docx", "A 16277-2025")</f>
        <v/>
      </c>
      <c r="AC33">
        <f>HYPERLINK("https://klasma.github.io/Logging_1463/tillsyn/A 16277-2025 tillsynsbegäran.docx", "A 16277-2025")</f>
        <v/>
      </c>
      <c r="AD33">
        <f>HYPERLINK("https://klasma.github.io/Logging_1463/tillsynsmail/A 16277-2025 tillsynsbegäran mail.docx", "A 16277-2025")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46292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46292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46292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46292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46292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46292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46292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46292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46292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46292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3</v>
      </c>
      <c r="V43" s="2" t="inlineStr">
        <is>
          <t>Knärot</t>
        </is>
      </c>
      <c r="W43">
        <f>HYPERLINK("https://klasma.github.io/Logging_1463/artfynd/A 16997-2024 artfynd.xlsx", "A 16997-2024")</f>
        <v/>
      </c>
      <c r="X43">
        <f>HYPERLINK("https://klasma.github.io/Logging_1463/kartor/A 16997-2024 karta.png", "A 16997-2024")</f>
        <v/>
      </c>
      <c r="Y43">
        <f>HYPERLINK("https://klasma.github.io/Logging_1463/kartor_geotiff/A 16997-2024 georefererad karta.tif", "A 16997-2024")</f>
        <v/>
      </c>
      <c r="Z43">
        <f>HYPERLINK("https://klasma.github.io/Logging_1463/knärot/A 16997-2024 karta knärot.png", "A 16997-2024")</f>
        <v/>
      </c>
      <c r="AA43">
        <f>HYPERLINK("https://klasma.github.io/Logging_1463/klagomål/A 16997-2024 FSC-klagomål.docx", "A 16997-2024")</f>
        <v/>
      </c>
      <c r="AB43">
        <f>HYPERLINK("https://klasma.github.io/Logging_1463/klagomålsmail/A 16997-2024 FSC-klagomål mail.docx", "A 16997-2024")</f>
        <v/>
      </c>
      <c r="AC43">
        <f>HYPERLINK("https://klasma.github.io/Logging_1463/tillsyn/A 16997-2024 tillsynsbegäran.docx", "A 16997-2024")</f>
        <v/>
      </c>
      <c r="AD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46292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46292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46292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46292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46292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46292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46292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46292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46292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46292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46292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46292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46292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46292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46292</v>
      </c>
      <c r="F58" t="inlineStr">
        <is>
          <t>VÄSTRA GÖTALANDS LÄN</t>
        </is>
      </c>
      <c r="G58" t="inlineStr">
        <is>
          <t>MARK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46292</v>
      </c>
      <c r="F59" t="inlineStr">
        <is>
          <t>VÄSTRA GÖTALANDS LÄN</t>
        </is>
      </c>
      <c r="G59" t="inlineStr">
        <is>
          <t>MARK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46292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30791-2022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44764</v>
      </c>
      <c r="E61" s="1" t="n">
        <v>46292</v>
      </c>
      <c r="F61" t="inlineStr">
        <is>
          <t>VÄSTRA GÖTALANDS LÄN</t>
        </is>
      </c>
      <c r="G61" t="inlineStr">
        <is>
          <t>MARK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46292</v>
      </c>
      <c r="F62" t="inlineStr">
        <is>
          <t>VÄSTRA GÖTALANDS LÄN</t>
        </is>
      </c>
      <c r="G62" t="inlineStr">
        <is>
          <t>MARK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46292</v>
      </c>
      <c r="F63" t="inlineStr">
        <is>
          <t>VÄSTRA GÖTALANDS LÄN</t>
        </is>
      </c>
      <c r="G63" t="inlineStr">
        <is>
          <t>MARK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44714</v>
      </c>
      <c r="E64" s="1" t="n">
        <v>46292</v>
      </c>
      <c r="F64" t="inlineStr">
        <is>
          <t>VÄSTRA GÖTALANDS LÄN</t>
        </is>
      </c>
      <c r="G64" t="inlineStr">
        <is>
          <t>MARK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46292</v>
      </c>
      <c r="F65" t="inlineStr">
        <is>
          <t>VÄSTRA GÖTALANDS LÄN</t>
        </is>
      </c>
      <c r="G65" t="inlineStr">
        <is>
          <t>MARK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46292</v>
      </c>
      <c r="F66" t="inlineStr">
        <is>
          <t>VÄSTRA GÖTALANDS LÄN</t>
        </is>
      </c>
      <c r="G66" t="inlineStr">
        <is>
          <t>MARK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46292</v>
      </c>
      <c r="F67" t="inlineStr">
        <is>
          <t>VÄSTRA GÖTALANDS LÄN</t>
        </is>
      </c>
      <c r="G67" t="inlineStr">
        <is>
          <t>MARK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46292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46292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46292</v>
      </c>
      <c r="F70" t="inlineStr">
        <is>
          <t>VÄSTRA GÖTALANDS LÄN</t>
        </is>
      </c>
      <c r="G70" t="inlineStr">
        <is>
          <t>MARK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46292</v>
      </c>
      <c r="F71" t="inlineStr">
        <is>
          <t>VÄSTRA GÖTALANDS LÄN</t>
        </is>
      </c>
      <c r="G71" t="inlineStr">
        <is>
          <t>MARK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46292</v>
      </c>
      <c r="F72" t="inlineStr">
        <is>
          <t>VÄSTRA GÖTALANDS LÄN</t>
        </is>
      </c>
      <c r="G72" t="inlineStr">
        <is>
          <t>MARK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46292</v>
      </c>
      <c r="F73" t="inlineStr">
        <is>
          <t>VÄSTRA GÖTALANDS LÄN</t>
        </is>
      </c>
      <c r="G73" t="inlineStr">
        <is>
          <t>MARK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46292</v>
      </c>
      <c r="F74" t="inlineStr">
        <is>
          <t>VÄSTRA GÖTALANDS LÄN</t>
        </is>
      </c>
      <c r="G74" t="inlineStr">
        <is>
          <t>MARK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44696</v>
      </c>
      <c r="E75" s="1" t="n">
        <v>46292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46292</v>
      </c>
      <c r="F76" t="inlineStr">
        <is>
          <t>VÄSTRA GÖTALANDS LÄN</t>
        </is>
      </c>
      <c r="G76" t="inlineStr">
        <is>
          <t>MARK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46292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46292</v>
      </c>
      <c r="F78" t="inlineStr">
        <is>
          <t>VÄSTRA GÖTALANDS LÄN</t>
        </is>
      </c>
      <c r="G78" t="inlineStr">
        <is>
          <t>MARK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46292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46292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46292</v>
      </c>
      <c r="F81" t="inlineStr">
        <is>
          <t>VÄSTRA GÖTALANDS LÄN</t>
        </is>
      </c>
      <c r="G81" t="inlineStr">
        <is>
          <t>MARK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46292</v>
      </c>
      <c r="F82" t="inlineStr">
        <is>
          <t>VÄSTRA GÖTALANDS LÄN</t>
        </is>
      </c>
      <c r="G82" t="inlineStr">
        <is>
          <t>MARK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46292</v>
      </c>
      <c r="F83" t="inlineStr">
        <is>
          <t>VÄSTRA GÖTALANDS LÄN</t>
        </is>
      </c>
      <c r="G83" t="inlineStr">
        <is>
          <t>MARK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70090-2021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44533</v>
      </c>
      <c r="E84" s="1" t="n">
        <v>46292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44680</v>
      </c>
      <c r="E85" s="1" t="n">
        <v>46292</v>
      </c>
      <c r="F85" t="inlineStr">
        <is>
          <t>VÄSTRA GÖTALANDS LÄN</t>
        </is>
      </c>
      <c r="G85" t="inlineStr">
        <is>
          <t>MARK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46292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46292</v>
      </c>
      <c r="F87" t="inlineStr">
        <is>
          <t>VÄSTRA GÖTALANDS LÄN</t>
        </is>
      </c>
      <c r="G87" t="inlineStr">
        <is>
          <t>MARK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44473</v>
      </c>
      <c r="E88" s="1" t="n">
        <v>46292</v>
      </c>
      <c r="F88" t="inlineStr">
        <is>
          <t>VÄSTRA GÖTALANDS LÄN</t>
        </is>
      </c>
      <c r="G88" t="inlineStr">
        <is>
          <t>MARK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46292</v>
      </c>
      <c r="F89" t="inlineStr">
        <is>
          <t>VÄSTRA GÖTALANDS LÄN</t>
        </is>
      </c>
      <c r="G89" t="inlineStr">
        <is>
          <t>MARK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46292</v>
      </c>
      <c r="F90" t="inlineStr">
        <is>
          <t>VÄSTRA GÖTALANDS LÄN</t>
        </is>
      </c>
      <c r="G90" t="inlineStr">
        <is>
          <t>MARK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32230-2022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46292</v>
      </c>
      <c r="F91" t="inlineStr">
        <is>
          <t>VÄSTRA GÖTALANDS LÄN</t>
        </is>
      </c>
      <c r="G91" t="inlineStr">
        <is>
          <t>MARK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46292</v>
      </c>
      <c r="F92" t="inlineStr">
        <is>
          <t>VÄSTRA GÖTALANDS LÄN</t>
        </is>
      </c>
      <c r="G92" t="inlineStr">
        <is>
          <t>MARK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46292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46292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46292</v>
      </c>
      <c r="F95" t="inlineStr">
        <is>
          <t>VÄSTRA GÖTALANDS LÄN</t>
        </is>
      </c>
      <c r="G95" t="inlineStr">
        <is>
          <t>MARK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10166-2022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44622</v>
      </c>
      <c r="E96" s="1" t="n">
        <v>46292</v>
      </c>
      <c r="F96" t="inlineStr">
        <is>
          <t>VÄSTRA GÖTALANDS LÄN</t>
        </is>
      </c>
      <c r="G96" t="inlineStr">
        <is>
          <t>MARK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71117-2021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46292</v>
      </c>
      <c r="F97" t="inlineStr">
        <is>
          <t>VÄSTRA GÖTALANDS LÄN</t>
        </is>
      </c>
      <c r="G97" t="inlineStr">
        <is>
          <t>MARK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44725</v>
      </c>
      <c r="E98" s="1" t="n">
        <v>46292</v>
      </c>
      <c r="F98" t="inlineStr">
        <is>
          <t>VÄSTRA GÖTALANDS LÄN</t>
        </is>
      </c>
      <c r="G98" t="inlineStr">
        <is>
          <t>MARK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46292</v>
      </c>
      <c r="F99" t="inlineStr">
        <is>
          <t>VÄSTRA GÖTALANDS LÄN</t>
        </is>
      </c>
      <c r="G99" t="inlineStr">
        <is>
          <t>MARK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44692</v>
      </c>
      <c r="E100" s="1" t="n">
        <v>46292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46292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46292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44834</v>
      </c>
      <c r="E103" s="1" t="n">
        <v>46292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45415</v>
      </c>
      <c r="E104" s="1" t="n">
        <v>46292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46292</v>
      </c>
      <c r="F105" t="inlineStr">
        <is>
          <t>VÄSTRA GÖTALANDS LÄN</t>
        </is>
      </c>
      <c r="G105" t="inlineStr">
        <is>
          <t>MARK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46292</v>
      </c>
      <c r="F106" t="inlineStr">
        <is>
          <t>VÄSTRA GÖTALANDS LÄN</t>
        </is>
      </c>
      <c r="G106" t="inlineStr">
        <is>
          <t>MARK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46292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46292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46292</v>
      </c>
      <c r="F109" t="inlineStr">
        <is>
          <t>VÄSTRA GÖTALANDS LÄN</t>
        </is>
      </c>
      <c r="G109" t="inlineStr">
        <is>
          <t>MARK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45135</v>
      </c>
      <c r="E110" s="1" t="n">
        <v>46292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45137</v>
      </c>
      <c r="E111" s="1" t="n">
        <v>46292</v>
      </c>
      <c r="F111" t="inlineStr">
        <is>
          <t>VÄSTRA GÖTALANDS LÄN</t>
        </is>
      </c>
      <c r="G111" t="inlineStr">
        <is>
          <t>MARK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46292</v>
      </c>
      <c r="F112" t="inlineStr">
        <is>
          <t>VÄSTRA GÖTALANDS LÄN</t>
        </is>
      </c>
      <c r="G112" t="inlineStr">
        <is>
          <t>MARK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46292</v>
      </c>
      <c r="F113" t="inlineStr">
        <is>
          <t>VÄSTRA GÖTALANDS LÄN</t>
        </is>
      </c>
      <c r="G113" t="inlineStr">
        <is>
          <t>MARK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46292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45745</v>
      </c>
      <c r="E115" s="1" t="n">
        <v>46292</v>
      </c>
      <c r="F115" t="inlineStr">
        <is>
          <t>VÄSTRA GÖTALANDS LÄN</t>
        </is>
      </c>
      <c r="G115" t="inlineStr">
        <is>
          <t>MARK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45397</v>
      </c>
      <c r="E116" s="1" t="n">
        <v>46292</v>
      </c>
      <c r="F116" t="inlineStr">
        <is>
          <t>VÄSTRA GÖTALANDS LÄN</t>
        </is>
      </c>
      <c r="G116" t="inlineStr">
        <is>
          <t>MARK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45471</v>
      </c>
      <c r="E117" s="1" t="n">
        <v>46292</v>
      </c>
      <c r="F117" t="inlineStr">
        <is>
          <t>VÄSTRA GÖTALANDS LÄN</t>
        </is>
      </c>
      <c r="G117" t="inlineStr">
        <is>
          <t>MARK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46292</v>
      </c>
      <c r="F118" t="inlineStr">
        <is>
          <t>VÄSTRA GÖTALANDS LÄN</t>
        </is>
      </c>
      <c r="G118" t="inlineStr">
        <is>
          <t>MARK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46292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46292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46292</v>
      </c>
      <c r="F121" t="inlineStr">
        <is>
          <t>VÄSTRA GÖTALANDS LÄN</t>
        </is>
      </c>
      <c r="G121" t="inlineStr">
        <is>
          <t>MARK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55842-2023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46292</v>
      </c>
      <c r="F122" t="inlineStr">
        <is>
          <t>VÄSTRA GÖTALANDS LÄN</t>
        </is>
      </c>
      <c r="G122" t="inlineStr">
        <is>
          <t>MARK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46292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46292</v>
      </c>
      <c r="F124" t="inlineStr">
        <is>
          <t>VÄSTRA GÖTALANDS LÄN</t>
        </is>
      </c>
      <c r="G124" t="inlineStr">
        <is>
          <t>MARK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46292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46292</v>
      </c>
      <c r="F126" t="inlineStr">
        <is>
          <t>VÄSTRA GÖTALANDS LÄN</t>
        </is>
      </c>
      <c r="G126" t="inlineStr">
        <is>
          <t>MARK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46292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45322</v>
      </c>
      <c r="E128" s="1" t="n">
        <v>46292</v>
      </c>
      <c r="F128" t="inlineStr">
        <is>
          <t>VÄSTRA GÖTALANDS LÄN</t>
        </is>
      </c>
      <c r="G128" t="inlineStr">
        <is>
          <t>MARK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46292</v>
      </c>
      <c r="F129" t="inlineStr">
        <is>
          <t>VÄSTRA GÖTALANDS LÄN</t>
        </is>
      </c>
      <c r="G129" t="inlineStr">
        <is>
          <t>MARK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46292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46292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46292</v>
      </c>
      <c r="F132" t="inlineStr">
        <is>
          <t>VÄSTRA GÖTALANDS LÄN</t>
        </is>
      </c>
      <c r="G132" t="inlineStr">
        <is>
          <t>MARK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46292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46292</v>
      </c>
      <c r="F134" t="inlineStr">
        <is>
          <t>VÄSTRA GÖTALANDS LÄN</t>
        </is>
      </c>
      <c r="G134" t="inlineStr">
        <is>
          <t>MARK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45724</v>
      </c>
      <c r="E135" s="1" t="n">
        <v>46292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46292</v>
      </c>
      <c r="F136" t="inlineStr">
        <is>
          <t>VÄSTRA GÖTALANDS LÄN</t>
        </is>
      </c>
      <c r="G136" t="inlineStr">
        <is>
          <t>MARK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46292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46292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45691</v>
      </c>
      <c r="E139" s="1" t="n">
        <v>46292</v>
      </c>
      <c r="F139" t="inlineStr">
        <is>
          <t>VÄSTRA GÖTALANDS LÄN</t>
        </is>
      </c>
      <c r="G139" t="inlineStr">
        <is>
          <t>MARK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46292</v>
      </c>
      <c r="F140" t="inlineStr">
        <is>
          <t>VÄSTRA GÖTALANDS LÄN</t>
        </is>
      </c>
      <c r="G140" t="inlineStr">
        <is>
          <t>MARK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46292</v>
      </c>
      <c r="F141" t="inlineStr">
        <is>
          <t>VÄSTRA GÖTALANDS LÄN</t>
        </is>
      </c>
      <c r="G141" t="inlineStr">
        <is>
          <t>MARK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46292</v>
      </c>
      <c r="F142" t="inlineStr">
        <is>
          <t>VÄSTRA GÖTALANDS LÄN</t>
        </is>
      </c>
      <c r="G142" t="inlineStr">
        <is>
          <t>MARK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34071-2023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45135</v>
      </c>
      <c r="E143" s="1" t="n">
        <v>46292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46292</v>
      </c>
      <c r="F144" t="inlineStr">
        <is>
          <t>VÄSTRA GÖTALANDS LÄN</t>
        </is>
      </c>
      <c r="G144" t="inlineStr">
        <is>
          <t>MARK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46292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45342</v>
      </c>
      <c r="E146" s="1" t="n">
        <v>46292</v>
      </c>
      <c r="F146" t="inlineStr">
        <is>
          <t>VÄSTRA GÖTALANDS LÄN</t>
        </is>
      </c>
      <c r="G146" t="inlineStr">
        <is>
          <t>MARK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46292</v>
      </c>
      <c r="F147" t="inlineStr">
        <is>
          <t>VÄSTRA GÖTALANDS LÄN</t>
        </is>
      </c>
      <c r="G147" t="inlineStr">
        <is>
          <t>MARK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46292</v>
      </c>
      <c r="F148" t="inlineStr">
        <is>
          <t>VÄSTRA GÖTALANDS LÄN</t>
        </is>
      </c>
      <c r="G148" t="inlineStr">
        <is>
          <t>MARK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46292</v>
      </c>
      <c r="F149" t="inlineStr">
        <is>
          <t>VÄSTRA GÖTALANDS LÄN</t>
        </is>
      </c>
      <c r="G149" t="inlineStr">
        <is>
          <t>MARK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46292</v>
      </c>
      <c r="F150" t="inlineStr">
        <is>
          <t>VÄSTRA GÖTALANDS LÄN</t>
        </is>
      </c>
      <c r="G150" t="inlineStr">
        <is>
          <t>MARK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46292</v>
      </c>
      <c r="F151" t="inlineStr">
        <is>
          <t>VÄSTRA GÖTALANDS LÄN</t>
        </is>
      </c>
      <c r="G151" t="inlineStr">
        <is>
          <t>MARK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45059</v>
      </c>
      <c r="E152" s="1" t="n">
        <v>46292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46292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46292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46292</v>
      </c>
      <c r="F155" t="inlineStr">
        <is>
          <t>VÄSTRA GÖTALANDS LÄN</t>
        </is>
      </c>
      <c r="G155" t="inlineStr">
        <is>
          <t>MARK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46292</v>
      </c>
      <c r="F156" t="inlineStr">
        <is>
          <t>VÄSTRA GÖTALANDS LÄN</t>
        </is>
      </c>
      <c r="G156" t="inlineStr">
        <is>
          <t>MARK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46292</v>
      </c>
      <c r="F157" t="inlineStr">
        <is>
          <t>VÄSTRA GÖTALANDS LÄN</t>
        </is>
      </c>
      <c r="G157" t="inlineStr">
        <is>
          <t>MARK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46292</v>
      </c>
      <c r="F158" t="inlineStr">
        <is>
          <t>VÄSTRA GÖTALANDS LÄN</t>
        </is>
      </c>
      <c r="G158" t="inlineStr">
        <is>
          <t>MARK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46292</v>
      </c>
      <c r="F159" t="inlineStr">
        <is>
          <t>VÄSTRA GÖTALANDS LÄN</t>
        </is>
      </c>
      <c r="G159" t="inlineStr">
        <is>
          <t>MARK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46292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46292</v>
      </c>
      <c r="F161" t="inlineStr">
        <is>
          <t>VÄSTRA GÖTALANDS LÄN</t>
        </is>
      </c>
      <c r="G161" t="inlineStr">
        <is>
          <t>MARK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46292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46292</v>
      </c>
      <c r="F163" t="inlineStr">
        <is>
          <t>VÄSTRA GÖTALANDS LÄN</t>
        </is>
      </c>
      <c r="G163" t="inlineStr">
        <is>
          <t>MARK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46292</v>
      </c>
      <c r="F164" t="inlineStr">
        <is>
          <t>VÄSTRA GÖTALANDS LÄN</t>
        </is>
      </c>
      <c r="G164" t="inlineStr">
        <is>
          <t>MARK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44936</v>
      </c>
      <c r="E165" s="1" t="n">
        <v>46292</v>
      </c>
      <c r="F165" t="inlineStr">
        <is>
          <t>VÄSTRA GÖTALANDS LÄN</t>
        </is>
      </c>
      <c r="G165" t="inlineStr">
        <is>
          <t>MARK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46292</v>
      </c>
      <c r="F166" t="inlineStr">
        <is>
          <t>VÄSTRA GÖTALANDS LÄN</t>
        </is>
      </c>
      <c r="G166" t="inlineStr">
        <is>
          <t>MARK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46292</v>
      </c>
      <c r="F167" t="inlineStr">
        <is>
          <t>VÄSTRA GÖTALANDS LÄN</t>
        </is>
      </c>
      <c r="G167" t="inlineStr">
        <is>
          <t>MARK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46292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Kyrkan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46292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46292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46292</v>
      </c>
      <c r="F171" t="inlineStr">
        <is>
          <t>VÄSTRA GÖTALANDS LÄN</t>
        </is>
      </c>
      <c r="G171" t="inlineStr">
        <is>
          <t>MARK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46292</v>
      </c>
      <c r="F172" t="inlineStr">
        <is>
          <t>VÄSTRA GÖTALANDS LÄN</t>
        </is>
      </c>
      <c r="G172" t="inlineStr">
        <is>
          <t>MARK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46292</v>
      </c>
      <c r="F173" t="inlineStr">
        <is>
          <t>VÄSTRA GÖTALANDS LÄN</t>
        </is>
      </c>
      <c r="G173" t="inlineStr">
        <is>
          <t>MARK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46292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46292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46292</v>
      </c>
      <c r="F176" t="inlineStr">
        <is>
          <t>VÄSTRA GÖTALANDS LÄN</t>
        </is>
      </c>
      <c r="G176" t="inlineStr">
        <is>
          <t>MARK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46292</v>
      </c>
      <c r="F177" t="inlineStr">
        <is>
          <t>VÄSTRA GÖTALANDS LÄN</t>
        </is>
      </c>
      <c r="G177" t="inlineStr">
        <is>
          <t>MARK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46292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40609-2025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45896</v>
      </c>
      <c r="E179" s="1" t="n">
        <v>46292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46292</v>
      </c>
      <c r="F180" t="inlineStr">
        <is>
          <t>VÄSTRA GÖTALANDS LÄN</t>
        </is>
      </c>
      <c r="G180" t="inlineStr">
        <is>
          <t>MARK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46292</v>
      </c>
      <c r="F181" t="inlineStr">
        <is>
          <t>VÄSTRA GÖTALANDS LÄN</t>
        </is>
      </c>
      <c r="G181" t="inlineStr">
        <is>
          <t>MARK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46292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69264-2021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46292</v>
      </c>
      <c r="F183" t="inlineStr">
        <is>
          <t>VÄSTRA GÖTALANDS LÄN</t>
        </is>
      </c>
      <c r="G183" t="inlineStr">
        <is>
          <t>MARK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46292</v>
      </c>
      <c r="F184" t="inlineStr">
        <is>
          <t>VÄSTRA GÖTALANDS LÄN</t>
        </is>
      </c>
      <c r="G184" t="inlineStr">
        <is>
          <t>MARK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46292</v>
      </c>
      <c r="F185" t="inlineStr">
        <is>
          <t>VÄSTRA GÖTALANDS LÄN</t>
        </is>
      </c>
      <c r="G185" t="inlineStr">
        <is>
          <t>MARK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46292</v>
      </c>
      <c r="F186" t="inlineStr">
        <is>
          <t>VÄSTRA GÖTALANDS LÄN</t>
        </is>
      </c>
      <c r="G186" t="inlineStr">
        <is>
          <t>MARK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46292</v>
      </c>
      <c r="F187" t="inlineStr">
        <is>
          <t>VÄSTRA GÖTALANDS LÄN</t>
        </is>
      </c>
      <c r="G187" t="inlineStr">
        <is>
          <t>MARK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46292</v>
      </c>
      <c r="F188" t="inlineStr">
        <is>
          <t>VÄSTRA GÖTALANDS LÄN</t>
        </is>
      </c>
      <c r="G188" t="inlineStr">
        <is>
          <t>MARK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46292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46292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46046</v>
      </c>
      <c r="E191" s="1" t="n">
        <v>46292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46292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46292</v>
      </c>
      <c r="F193" t="inlineStr">
        <is>
          <t>VÄSTRA GÖTALANDS LÄN</t>
        </is>
      </c>
      <c r="G193" t="inlineStr">
        <is>
          <t>MARK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46292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46292</v>
      </c>
      <c r="F195" t="inlineStr">
        <is>
          <t>VÄSTRA GÖTALANDS LÄN</t>
        </is>
      </c>
      <c r="G195" t="inlineStr">
        <is>
          <t>MARK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46292</v>
      </c>
      <c r="F196" t="inlineStr">
        <is>
          <t>VÄSTRA GÖTALANDS LÄN</t>
        </is>
      </c>
      <c r="G196" t="inlineStr">
        <is>
          <t>MARK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46292</v>
      </c>
      <c r="F197" t="inlineStr">
        <is>
          <t>VÄSTRA GÖTALANDS LÄN</t>
        </is>
      </c>
      <c r="G197" t="inlineStr">
        <is>
          <t>MARK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46056</v>
      </c>
      <c r="E198" s="1" t="n">
        <v>46292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44603</v>
      </c>
      <c r="E199" s="1" t="n">
        <v>46292</v>
      </c>
      <c r="F199" t="inlineStr">
        <is>
          <t>VÄSTRA GÖTALANDS LÄN</t>
        </is>
      </c>
      <c r="G199" t="inlineStr">
        <is>
          <t>MARK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46292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46292</v>
      </c>
      <c r="F201" t="inlineStr">
        <is>
          <t>VÄSTRA GÖTALANDS LÄN</t>
        </is>
      </c>
      <c r="G201" t="inlineStr">
        <is>
          <t>MARK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46292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46292</v>
      </c>
      <c r="F203" t="inlineStr">
        <is>
          <t>VÄSTRA GÖTALANDS LÄN</t>
        </is>
      </c>
      <c r="G203" t="inlineStr">
        <is>
          <t>MARK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30272-2024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45490</v>
      </c>
      <c r="E204" s="1" t="n">
        <v>46292</v>
      </c>
      <c r="F204" t="inlineStr">
        <is>
          <t>VÄSTRA GÖTALANDS LÄN</t>
        </is>
      </c>
      <c r="G204" t="inlineStr">
        <is>
          <t>MARK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46292</v>
      </c>
      <c r="F205" t="inlineStr">
        <is>
          <t>VÄSTRA GÖTALANDS LÄN</t>
        </is>
      </c>
      <c r="G205" t="inlineStr">
        <is>
          <t>MARK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46292</v>
      </c>
      <c r="F206" t="inlineStr">
        <is>
          <t>VÄSTRA GÖTALANDS LÄN</t>
        </is>
      </c>
      <c r="G206" t="inlineStr">
        <is>
          <t>MARK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45667</v>
      </c>
      <c r="E207" s="1" t="n">
        <v>46292</v>
      </c>
      <c r="F207" t="inlineStr">
        <is>
          <t>VÄSTRA GÖTALANDS LÄN</t>
        </is>
      </c>
      <c r="G207" t="inlineStr">
        <is>
          <t>MARK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46292</v>
      </c>
      <c r="F208" t="inlineStr">
        <is>
          <t>VÄSTRA GÖTALANDS LÄN</t>
        </is>
      </c>
      <c r="G208" t="inlineStr">
        <is>
          <t>MARK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46292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46292</v>
      </c>
      <c r="F210" t="inlineStr">
        <is>
          <t>VÄSTRA GÖTALANDS LÄN</t>
        </is>
      </c>
      <c r="G210" t="inlineStr">
        <is>
          <t>MARK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46292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46292</v>
      </c>
      <c r="F212" t="inlineStr">
        <is>
          <t>VÄSTRA GÖTALANDS LÄN</t>
        </is>
      </c>
      <c r="G212" t="inlineStr">
        <is>
          <t>MARK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46292</v>
      </c>
      <c r="F213" t="inlineStr">
        <is>
          <t>VÄSTRA GÖTALANDS LÄN</t>
        </is>
      </c>
      <c r="G213" t="inlineStr">
        <is>
          <t>MARK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46292</v>
      </c>
      <c r="F214" t="inlineStr">
        <is>
          <t>VÄSTRA GÖTALANDS LÄN</t>
        </is>
      </c>
      <c r="G214" t="inlineStr">
        <is>
          <t>MARK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46292</v>
      </c>
      <c r="F215" t="inlineStr">
        <is>
          <t>VÄSTRA GÖTALANDS LÄN</t>
        </is>
      </c>
      <c r="G215" t="inlineStr">
        <is>
          <t>MARK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46292</v>
      </c>
      <c r="F216" t="inlineStr">
        <is>
          <t>VÄSTRA GÖTALANDS LÄN</t>
        </is>
      </c>
      <c r="G216" t="inlineStr">
        <is>
          <t>MARK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46511-2025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45925</v>
      </c>
      <c r="E217" s="1" t="n">
        <v>46292</v>
      </c>
      <c r="F217" t="inlineStr">
        <is>
          <t>VÄSTRA GÖTALANDS LÄN</t>
        </is>
      </c>
      <c r="G217" t="inlineStr">
        <is>
          <t>MARK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45925</v>
      </c>
      <c r="E218" s="1" t="n">
        <v>46292</v>
      </c>
      <c r="F218" t="inlineStr">
        <is>
          <t>VÄSTRA GÖTALANDS LÄN</t>
        </is>
      </c>
      <c r="G218" t="inlineStr">
        <is>
          <t>MARK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46292</v>
      </c>
      <c r="F219" t="inlineStr">
        <is>
          <t>VÄSTRA GÖTALANDS LÄN</t>
        </is>
      </c>
      <c r="G219" t="inlineStr">
        <is>
          <t>MARK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46292</v>
      </c>
      <c r="F220" t="inlineStr">
        <is>
          <t>VÄSTRA GÖTALANDS LÄN</t>
        </is>
      </c>
      <c r="G220" t="inlineStr">
        <is>
          <t>MARK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46292</v>
      </c>
      <c r="F221" t="inlineStr">
        <is>
          <t>VÄSTRA GÖTALANDS LÄN</t>
        </is>
      </c>
      <c r="G221" t="inlineStr">
        <is>
          <t>MARK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46292</v>
      </c>
      <c r="F222" t="inlineStr">
        <is>
          <t>VÄSTRA GÖTALANDS LÄN</t>
        </is>
      </c>
      <c r="G222" t="inlineStr">
        <is>
          <t>MARK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45370</v>
      </c>
      <c r="E223" s="1" t="n">
        <v>46292</v>
      </c>
      <c r="F223" t="inlineStr">
        <is>
          <t>VÄSTRA GÖTALANDS LÄN</t>
        </is>
      </c>
      <c r="G223" t="inlineStr">
        <is>
          <t>MARK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46292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3655-2023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44950</v>
      </c>
      <c r="E225" s="1" t="n">
        <v>46292</v>
      </c>
      <c r="F225" t="inlineStr">
        <is>
          <t>VÄSTRA GÖTALANDS LÄN</t>
        </is>
      </c>
      <c r="G225" t="inlineStr">
        <is>
          <t>MARK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46292</v>
      </c>
      <c r="F226" t="inlineStr">
        <is>
          <t>VÄSTRA GÖTALANDS LÄN</t>
        </is>
      </c>
      <c r="G226" t="inlineStr">
        <is>
          <t>MARK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46292</v>
      </c>
      <c r="F227" t="inlineStr">
        <is>
          <t>VÄSTRA GÖTALANDS LÄN</t>
        </is>
      </c>
      <c r="G227" t="inlineStr">
        <is>
          <t>MARK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46292</v>
      </c>
      <c r="F228" t="inlineStr">
        <is>
          <t>VÄSTRA GÖTALANDS LÄN</t>
        </is>
      </c>
      <c r="G228" t="inlineStr">
        <is>
          <t>MARK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46292</v>
      </c>
      <c r="F229" t="inlineStr">
        <is>
          <t>VÄSTRA GÖTALANDS LÄN</t>
        </is>
      </c>
      <c r="G229" t="inlineStr">
        <is>
          <t>MARK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46292</v>
      </c>
      <c r="F230" t="inlineStr">
        <is>
          <t>VÄSTRA GÖTALANDS LÄN</t>
        </is>
      </c>
      <c r="G230" t="inlineStr">
        <is>
          <t>MARK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45699</v>
      </c>
      <c r="E231" s="1" t="n">
        <v>46292</v>
      </c>
      <c r="F231" t="inlineStr">
        <is>
          <t>VÄSTRA GÖTALANDS LÄN</t>
        </is>
      </c>
      <c r="G231" t="inlineStr">
        <is>
          <t>MARK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46292</v>
      </c>
      <c r="F232" t="inlineStr">
        <is>
          <t>VÄSTRA GÖTALANDS LÄN</t>
        </is>
      </c>
      <c r="G232" t="inlineStr">
        <is>
          <t>MARK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46292</v>
      </c>
      <c r="F233" t="inlineStr">
        <is>
          <t>VÄSTRA GÖTALANDS LÄN</t>
        </is>
      </c>
      <c r="G233" t="inlineStr">
        <is>
          <t>MARK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46292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11549-2026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46084</v>
      </c>
      <c r="E235" s="1" t="n">
        <v>46292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46292</v>
      </c>
      <c r="F236" t="inlineStr">
        <is>
          <t>VÄSTRA GÖTALANDS LÄN</t>
        </is>
      </c>
      <c r="G236" t="inlineStr">
        <is>
          <t>MARK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46292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46292</v>
      </c>
      <c r="F238" t="inlineStr">
        <is>
          <t>VÄSTRA GÖTALANDS LÄN</t>
        </is>
      </c>
      <c r="G238" t="inlineStr">
        <is>
          <t>MARK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46292</v>
      </c>
      <c r="F239" t="inlineStr">
        <is>
          <t>VÄSTRA GÖTALANDS LÄN</t>
        </is>
      </c>
      <c r="G239" t="inlineStr">
        <is>
          <t>MARK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46292</v>
      </c>
      <c r="F240" t="inlineStr">
        <is>
          <t>VÄSTRA GÖTALANDS LÄN</t>
        </is>
      </c>
      <c r="G240" t="inlineStr">
        <is>
          <t>MARK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46292</v>
      </c>
      <c r="F241" t="inlineStr">
        <is>
          <t>VÄSTRA GÖTALANDS LÄN</t>
        </is>
      </c>
      <c r="G241" t="inlineStr">
        <is>
          <t>MARK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46292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Sveaskog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46292</v>
      </c>
      <c r="F243" t="inlineStr">
        <is>
          <t>VÄSTRA GÖTALANDS LÄN</t>
        </is>
      </c>
      <c r="G243" t="inlineStr">
        <is>
          <t>MARK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15448-2022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44660</v>
      </c>
      <c r="E244" s="1" t="n">
        <v>46292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44596</v>
      </c>
      <c r="E245" s="1" t="n">
        <v>46292</v>
      </c>
      <c r="F245" t="inlineStr">
        <is>
          <t>VÄSTRA GÖTALANDS LÄN</t>
        </is>
      </c>
      <c r="G245" t="inlineStr">
        <is>
          <t>MARK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46292</v>
      </c>
      <c r="F246" t="inlineStr">
        <is>
          <t>VÄSTRA GÖTALANDS LÄN</t>
        </is>
      </c>
      <c r="G246" t="inlineStr">
        <is>
          <t>MARK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46292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46292</v>
      </c>
      <c r="F248" t="inlineStr">
        <is>
          <t>VÄSTRA GÖTALANDS LÄN</t>
        </is>
      </c>
      <c r="G248" t="inlineStr">
        <is>
          <t>MARK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46292</v>
      </c>
      <c r="F249" t="inlineStr">
        <is>
          <t>VÄSTRA GÖTALANDS LÄN</t>
        </is>
      </c>
      <c r="G249" t="inlineStr">
        <is>
          <t>MARK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25560-2022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44732</v>
      </c>
      <c r="E250" s="1" t="n">
        <v>46292</v>
      </c>
      <c r="F250" t="inlineStr">
        <is>
          <t>VÄSTRA GÖTALANDS LÄN</t>
        </is>
      </c>
      <c r="G250" t="inlineStr">
        <is>
          <t>MARK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46292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46292</v>
      </c>
      <c r="F252" t="inlineStr">
        <is>
          <t>VÄSTRA GÖTALANDS LÄN</t>
        </is>
      </c>
      <c r="G252" t="inlineStr">
        <is>
          <t>MARK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45686</v>
      </c>
      <c r="E253" s="1" t="n">
        <v>46292</v>
      </c>
      <c r="F253" t="inlineStr">
        <is>
          <t>VÄSTRA GÖTALANDS LÄN</t>
        </is>
      </c>
      <c r="G253" t="inlineStr">
        <is>
          <t>MARK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46292</v>
      </c>
      <c r="F254" t="inlineStr">
        <is>
          <t>VÄSTRA GÖTALANDS LÄN</t>
        </is>
      </c>
      <c r="G254" t="inlineStr">
        <is>
          <t>MARK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46292</v>
      </c>
      <c r="F255" t="inlineStr">
        <is>
          <t>VÄSTRA GÖTALANDS LÄN</t>
        </is>
      </c>
      <c r="G255" t="inlineStr">
        <is>
          <t>MARK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46292</v>
      </c>
      <c r="F256" t="inlineStr">
        <is>
          <t>VÄSTRA GÖTALANDS LÄN</t>
        </is>
      </c>
      <c r="G256" t="inlineStr">
        <is>
          <t>MARK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46292</v>
      </c>
      <c r="F257" t="inlineStr">
        <is>
          <t>VÄSTRA GÖTALANDS LÄN</t>
        </is>
      </c>
      <c r="G257" t="inlineStr">
        <is>
          <t>MARK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13003-2026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46092</v>
      </c>
      <c r="E258" s="1" t="n">
        <v>46292</v>
      </c>
      <c r="F258" t="inlineStr">
        <is>
          <t>VÄSTRA GÖTALANDS LÄN</t>
        </is>
      </c>
      <c r="G258" t="inlineStr">
        <is>
          <t>MARK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46292</v>
      </c>
      <c r="F259" t="inlineStr">
        <is>
          <t>VÄSTRA GÖTALANDS LÄN</t>
        </is>
      </c>
      <c r="G259" t="inlineStr">
        <is>
          <t>MARK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46292</v>
      </c>
      <c r="F260" t="inlineStr">
        <is>
          <t>VÄSTRA GÖTALANDS LÄN</t>
        </is>
      </c>
      <c r="G260" t="inlineStr">
        <is>
          <t>MARK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46292</v>
      </c>
      <c r="F261" t="inlineStr">
        <is>
          <t>VÄSTRA GÖTALANDS LÄN</t>
        </is>
      </c>
      <c r="G261" t="inlineStr">
        <is>
          <t>MARK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46292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46292</v>
      </c>
      <c r="F263" t="inlineStr">
        <is>
          <t>VÄSTRA GÖTALANDS LÄN</t>
        </is>
      </c>
      <c r="G263" t="inlineStr">
        <is>
          <t>MARK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46292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45268</v>
      </c>
      <c r="E265" s="1" t="n">
        <v>46292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46292</v>
      </c>
      <c r="F266" t="inlineStr">
        <is>
          <t>VÄSTRA GÖTALANDS LÄN</t>
        </is>
      </c>
      <c r="G266" t="inlineStr">
        <is>
          <t>MARK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46292</v>
      </c>
      <c r="F267" t="inlineStr">
        <is>
          <t>VÄSTRA GÖTALANDS LÄN</t>
        </is>
      </c>
      <c r="G267" t="inlineStr">
        <is>
          <t>MARK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46292</v>
      </c>
      <c r="F268" t="inlineStr">
        <is>
          <t>VÄSTRA GÖTALANDS LÄN</t>
        </is>
      </c>
      <c r="G268" t="inlineStr">
        <is>
          <t>MARK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46292</v>
      </c>
      <c r="F269" t="inlineStr">
        <is>
          <t>VÄSTRA GÖTALANDS LÄN</t>
        </is>
      </c>
      <c r="G269" t="inlineStr">
        <is>
          <t>MARK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46292</v>
      </c>
      <c r="F270" t="inlineStr">
        <is>
          <t>VÄSTRA GÖTALANDS LÄN</t>
        </is>
      </c>
      <c r="G270" t="inlineStr">
        <is>
          <t>MARK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63365-2023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45274</v>
      </c>
      <c r="E271" s="1" t="n">
        <v>46292</v>
      </c>
      <c r="F271" t="inlineStr">
        <is>
          <t>VÄSTRA GÖTALANDS LÄN</t>
        </is>
      </c>
      <c r="G271" t="inlineStr">
        <is>
          <t>MARK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46292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46292</v>
      </c>
      <c r="F273" t="inlineStr">
        <is>
          <t>VÄSTRA GÖTALANDS LÄN</t>
        </is>
      </c>
      <c r="G273" t="inlineStr">
        <is>
          <t>MARK</t>
        </is>
      </c>
      <c r="I273" t="n">
        <v>12.5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46292</v>
      </c>
      <c r="F274" t="inlineStr">
        <is>
          <t>VÄSTRA GÖTALANDS LÄN</t>
        </is>
      </c>
      <c r="G274" t="inlineStr">
        <is>
          <t>MARK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46292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46292</v>
      </c>
      <c r="F276" t="inlineStr">
        <is>
          <t>VÄSTRA GÖTALANDS LÄN</t>
        </is>
      </c>
      <c r="G276" t="inlineStr">
        <is>
          <t>MARK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46292</v>
      </c>
      <c r="F277" t="inlineStr">
        <is>
          <t>VÄSTRA GÖTALANDS LÄN</t>
        </is>
      </c>
      <c r="G277" t="inlineStr">
        <is>
          <t>MARK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46292</v>
      </c>
      <c r="F278" t="inlineStr">
        <is>
          <t>VÄSTRA GÖTALANDS LÄN</t>
        </is>
      </c>
      <c r="G278" t="inlineStr">
        <is>
          <t>MARK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46292</v>
      </c>
      <c r="F279" t="inlineStr">
        <is>
          <t>VÄSTRA GÖTALANDS LÄN</t>
        </is>
      </c>
      <c r="G279" t="inlineStr">
        <is>
          <t>MARK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46292</v>
      </c>
      <c r="F280" t="inlineStr">
        <is>
          <t>VÄSTRA GÖTALANDS LÄN</t>
        </is>
      </c>
      <c r="G280" t="inlineStr">
        <is>
          <t>MARK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45624</v>
      </c>
      <c r="E281" s="1" t="n">
        <v>46292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46292</v>
      </c>
      <c r="F282" t="inlineStr">
        <is>
          <t>VÄSTRA GÖTALANDS LÄN</t>
        </is>
      </c>
      <c r="G282" t="inlineStr">
        <is>
          <t>MARK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44764</v>
      </c>
      <c r="E283" s="1" t="n">
        <v>46292</v>
      </c>
      <c r="F283" t="inlineStr">
        <is>
          <t>VÄSTRA GÖTALANDS LÄN</t>
        </is>
      </c>
      <c r="G283" t="inlineStr">
        <is>
          <t>MARK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46292</v>
      </c>
      <c r="F284" t="inlineStr">
        <is>
          <t>VÄSTRA GÖTALANDS LÄN</t>
        </is>
      </c>
      <c r="G284" t="inlineStr">
        <is>
          <t>MARK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18337-2022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44685</v>
      </c>
      <c r="E285" s="1" t="n">
        <v>46292</v>
      </c>
      <c r="F285" t="inlineStr">
        <is>
          <t>VÄSTRA GÖTALANDS LÄN</t>
        </is>
      </c>
      <c r="G285" t="inlineStr">
        <is>
          <t>MARK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46292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46292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46292</v>
      </c>
      <c r="F288" t="inlineStr">
        <is>
          <t>VÄSTRA GÖTALANDS LÄN</t>
        </is>
      </c>
      <c r="G288" t="inlineStr">
        <is>
          <t>MARK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46292</v>
      </c>
      <c r="F289" t="inlineStr">
        <is>
          <t>VÄSTRA GÖTALANDS LÄN</t>
        </is>
      </c>
      <c r="G289" t="inlineStr">
        <is>
          <t>MARK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46292</v>
      </c>
      <c r="F290" t="inlineStr">
        <is>
          <t>VÄSTRA GÖTALANDS LÄN</t>
        </is>
      </c>
      <c r="G290" t="inlineStr">
        <is>
          <t>MARK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14692-2024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45397</v>
      </c>
      <c r="E291" s="1" t="n">
        <v>46292</v>
      </c>
      <c r="F291" t="inlineStr">
        <is>
          <t>VÄSTRA GÖTALANDS LÄN</t>
        </is>
      </c>
      <c r="G291" t="inlineStr">
        <is>
          <t>MARK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46292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46292</v>
      </c>
      <c r="F293" t="inlineStr">
        <is>
          <t>VÄSTRA GÖTALANDS LÄN</t>
        </is>
      </c>
      <c r="G293" t="inlineStr">
        <is>
          <t>MARK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46292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43477-2025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45911</v>
      </c>
      <c r="E295" s="1" t="n">
        <v>46292</v>
      </c>
      <c r="F295" t="inlineStr">
        <is>
          <t>VÄSTRA GÖTALANDS LÄN</t>
        </is>
      </c>
      <c r="G295" t="inlineStr">
        <is>
          <t>MARK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46292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46292</v>
      </c>
      <c r="F297" t="inlineStr">
        <is>
          <t>VÄSTRA GÖTALANDS LÄN</t>
        </is>
      </c>
      <c r="G297" t="inlineStr">
        <is>
          <t>MARK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46292</v>
      </c>
      <c r="F298" t="inlineStr">
        <is>
          <t>VÄSTRA GÖTALANDS LÄN</t>
        </is>
      </c>
      <c r="G298" t="inlineStr">
        <is>
          <t>MARK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45751</v>
      </c>
      <c r="E299" s="1" t="n">
        <v>46292</v>
      </c>
      <c r="F299" t="inlineStr">
        <is>
          <t>VÄSTRA GÖTALANDS LÄN</t>
        </is>
      </c>
      <c r="G299" t="inlineStr">
        <is>
          <t>MARK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45455</v>
      </c>
      <c r="E300" s="1" t="n">
        <v>46292</v>
      </c>
      <c r="F300" t="inlineStr">
        <is>
          <t>VÄSTRA GÖTALANDS LÄN</t>
        </is>
      </c>
      <c r="G300" t="inlineStr">
        <is>
          <t>MARK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46292</v>
      </c>
      <c r="F301" t="inlineStr">
        <is>
          <t>VÄSTRA GÖTALANDS LÄN</t>
        </is>
      </c>
      <c r="G301" t="inlineStr">
        <is>
          <t>MARK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46292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45137</v>
      </c>
      <c r="E303" s="1" t="n">
        <v>46292</v>
      </c>
      <c r="F303" t="inlineStr">
        <is>
          <t>VÄSTRA GÖTALANDS LÄN</t>
        </is>
      </c>
      <c r="G303" t="inlineStr">
        <is>
          <t>MARK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44573-2024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45574</v>
      </c>
      <c r="E304" s="1" t="n">
        <v>46292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46292</v>
      </c>
      <c r="F305" t="inlineStr">
        <is>
          <t>VÄSTRA GÖTALANDS LÄN</t>
        </is>
      </c>
      <c r="G305" t="inlineStr">
        <is>
          <t>MARK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46292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46292</v>
      </c>
      <c r="F307" t="inlineStr">
        <is>
          <t>VÄSTRA GÖTALANDS LÄN</t>
        </is>
      </c>
      <c r="G307" t="inlineStr">
        <is>
          <t>MARK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46292</v>
      </c>
      <c r="F308" t="inlineStr">
        <is>
          <t>VÄSTRA GÖTALANDS LÄN</t>
        </is>
      </c>
      <c r="G308" t="inlineStr">
        <is>
          <t>MARK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46292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46292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46292</v>
      </c>
      <c r="F311" t="inlineStr">
        <is>
          <t>VÄSTRA GÖTALANDS LÄN</t>
        </is>
      </c>
      <c r="G311" t="inlineStr">
        <is>
          <t>MARK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46292</v>
      </c>
      <c r="F312" t="inlineStr">
        <is>
          <t>VÄSTRA GÖTALANDS LÄN</t>
        </is>
      </c>
      <c r="G312" t="inlineStr">
        <is>
          <t>MARK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19709-2022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44694</v>
      </c>
      <c r="E313" s="1" t="n">
        <v>46292</v>
      </c>
      <c r="F313" t="inlineStr">
        <is>
          <t>VÄSTRA GÖTALANDS LÄN</t>
        </is>
      </c>
      <c r="G313" t="inlineStr">
        <is>
          <t>MARK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46292</v>
      </c>
      <c r="F314" t="inlineStr">
        <is>
          <t>VÄSTRA GÖTALANDS LÄN</t>
        </is>
      </c>
      <c r="G314" t="inlineStr">
        <is>
          <t>MARK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46292</v>
      </c>
      <c r="F315" t="inlineStr">
        <is>
          <t>VÄSTRA GÖTALANDS LÄN</t>
        </is>
      </c>
      <c r="G315" t="inlineStr">
        <is>
          <t>MARK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45996</v>
      </c>
      <c r="E316" s="1" t="n">
        <v>46292</v>
      </c>
      <c r="F316" t="inlineStr">
        <is>
          <t>VÄSTRA GÖTALANDS LÄN</t>
        </is>
      </c>
      <c r="G316" t="inlineStr">
        <is>
          <t>MARK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46292</v>
      </c>
      <c r="F317" t="inlineStr">
        <is>
          <t>VÄSTRA GÖTALANDS LÄN</t>
        </is>
      </c>
      <c r="G317" t="inlineStr">
        <is>
          <t>MARK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44762</v>
      </c>
      <c r="E318" s="1" t="n">
        <v>46292</v>
      </c>
      <c r="F318" t="inlineStr">
        <is>
          <t>VÄSTRA GÖTALANDS LÄN</t>
        </is>
      </c>
      <c r="G318" t="inlineStr">
        <is>
          <t>MARK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46292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46292</v>
      </c>
      <c r="F320" t="inlineStr">
        <is>
          <t>VÄSTRA GÖTALANDS LÄN</t>
        </is>
      </c>
      <c r="G320" t="inlineStr">
        <is>
          <t>MARK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46292</v>
      </c>
      <c r="F321" t="inlineStr">
        <is>
          <t>VÄSTRA GÖTALANDS LÄN</t>
        </is>
      </c>
      <c r="G321" t="inlineStr">
        <is>
          <t>MARK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46292</v>
      </c>
      <c r="F322" t="inlineStr">
        <is>
          <t>VÄSTRA GÖTALANDS LÄN</t>
        </is>
      </c>
      <c r="G322" t="inlineStr">
        <is>
          <t>MARK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46292</v>
      </c>
      <c r="F323" t="inlineStr">
        <is>
          <t>VÄSTRA GÖTALANDS LÄN</t>
        </is>
      </c>
      <c r="G323" t="inlineStr">
        <is>
          <t>MARK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46292</v>
      </c>
      <c r="F324" t="inlineStr">
        <is>
          <t>VÄSTRA GÖTALANDS LÄN</t>
        </is>
      </c>
      <c r="G324" t="inlineStr">
        <is>
          <t>MARK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46292</v>
      </c>
      <c r="F325" t="inlineStr">
        <is>
          <t>VÄSTRA GÖTALANDS LÄN</t>
        </is>
      </c>
      <c r="G325" t="inlineStr">
        <is>
          <t>MARK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46292</v>
      </c>
      <c r="F326" t="inlineStr">
        <is>
          <t>VÄSTRA GÖTALANDS LÄN</t>
        </is>
      </c>
      <c r="G326" t="inlineStr">
        <is>
          <t>MARK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46292</v>
      </c>
      <c r="F327" t="inlineStr">
        <is>
          <t>VÄSTRA GÖTALANDS LÄN</t>
        </is>
      </c>
      <c r="G327" t="inlineStr">
        <is>
          <t>MARK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46292</v>
      </c>
      <c r="F328" t="inlineStr">
        <is>
          <t>VÄSTRA GÖTALANDS LÄN</t>
        </is>
      </c>
      <c r="G328" t="inlineStr">
        <is>
          <t>MARK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46292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46292</v>
      </c>
      <c r="F330" t="inlineStr">
        <is>
          <t>VÄSTRA GÖTALANDS LÄN</t>
        </is>
      </c>
      <c r="G330" t="inlineStr">
        <is>
          <t>MARK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61486-2021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44501</v>
      </c>
      <c r="E331" s="1" t="n">
        <v>46292</v>
      </c>
      <c r="F331" t="inlineStr">
        <is>
          <t>VÄSTRA GÖTALANDS LÄN</t>
        </is>
      </c>
      <c r="G331" t="inlineStr">
        <is>
          <t>MARK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46292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46292</v>
      </c>
      <c r="F333" t="inlineStr">
        <is>
          <t>VÄSTRA GÖTALANDS LÄN</t>
        </is>
      </c>
      <c r="G333" t="inlineStr">
        <is>
          <t>MARK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46292</v>
      </c>
      <c r="F334" t="inlineStr">
        <is>
          <t>VÄSTRA GÖTALANDS LÄN</t>
        </is>
      </c>
      <c r="G334" t="inlineStr">
        <is>
          <t>MARK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46292</v>
      </c>
      <c r="F335" t="inlineStr">
        <is>
          <t>VÄSTRA GÖTALANDS LÄN</t>
        </is>
      </c>
      <c r="G335" t="inlineStr">
        <is>
          <t>MARK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46292</v>
      </c>
      <c r="F336" t="inlineStr">
        <is>
          <t>VÄSTRA GÖTALANDS LÄN</t>
        </is>
      </c>
      <c r="G336" t="inlineStr">
        <is>
          <t>MARK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62404-2025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46007</v>
      </c>
      <c r="E337" s="1" t="n">
        <v>46292</v>
      </c>
      <c r="F337" t="inlineStr">
        <is>
          <t>VÄSTRA GÖTALANDS LÄN</t>
        </is>
      </c>
      <c r="G337" t="inlineStr">
        <is>
          <t>MARK</t>
        </is>
      </c>
      <c r="I337" t="n">
        <v>13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46292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46292</v>
      </c>
      <c r="F339" t="inlineStr">
        <is>
          <t>VÄSTRA GÖTALANDS LÄN</t>
        </is>
      </c>
      <c r="G339" t="inlineStr">
        <is>
          <t>MARK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46292</v>
      </c>
      <c r="F340" t="inlineStr">
        <is>
          <t>VÄSTRA GÖTALANDS LÄN</t>
        </is>
      </c>
      <c r="G340" t="inlineStr">
        <is>
          <t>MARK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46292</v>
      </c>
      <c r="F341" t="inlineStr">
        <is>
          <t>VÄSTRA GÖTALANDS LÄN</t>
        </is>
      </c>
      <c r="G341" t="inlineStr">
        <is>
          <t>MARK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36374-2025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45868</v>
      </c>
      <c r="E342" s="1" t="n">
        <v>46292</v>
      </c>
      <c r="F342" t="inlineStr">
        <is>
          <t>VÄSTRA GÖTALANDS LÄN</t>
        </is>
      </c>
      <c r="G342" t="inlineStr">
        <is>
          <t>MARK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46292</v>
      </c>
      <c r="F343" t="inlineStr">
        <is>
          <t>VÄSTRA GÖTALANDS LÄN</t>
        </is>
      </c>
      <c r="G343" t="inlineStr">
        <is>
          <t>MARK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46292</v>
      </c>
      <c r="F344" t="inlineStr">
        <is>
          <t>VÄSTRA GÖTALANDS LÄN</t>
        </is>
      </c>
      <c r="G344" t="inlineStr">
        <is>
          <t>MARK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46292</v>
      </c>
      <c r="F345" t="inlineStr">
        <is>
          <t>VÄSTRA GÖTALANDS LÄN</t>
        </is>
      </c>
      <c r="G345" t="inlineStr">
        <is>
          <t>MARK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46292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46292</v>
      </c>
      <c r="F347" t="inlineStr">
        <is>
          <t>VÄSTRA GÖTALANDS LÄN</t>
        </is>
      </c>
      <c r="G347" t="inlineStr">
        <is>
          <t>MARK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46292</v>
      </c>
      <c r="F348" t="inlineStr">
        <is>
          <t>VÄSTRA GÖTALANDS LÄN</t>
        </is>
      </c>
      <c r="G348" t="inlineStr">
        <is>
          <t>MARK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46013</v>
      </c>
      <c r="E349" s="1" t="n">
        <v>46292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46292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45825</v>
      </c>
      <c r="E351" s="1" t="n">
        <v>46292</v>
      </c>
      <c r="F351" t="inlineStr">
        <is>
          <t>VÄSTRA GÖTALANDS LÄN</t>
        </is>
      </c>
      <c r="G351" t="inlineStr">
        <is>
          <t>MARK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46292</v>
      </c>
      <c r="F352" t="inlineStr">
        <is>
          <t>VÄSTRA GÖTALANDS LÄN</t>
        </is>
      </c>
      <c r="G352" t="inlineStr">
        <is>
          <t>MARK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46292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46292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45022</v>
      </c>
      <c r="E355" s="1" t="n">
        <v>46292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46292</v>
      </c>
      <c r="F356" t="inlineStr">
        <is>
          <t>VÄSTRA GÖTALANDS LÄN</t>
        </is>
      </c>
      <c r="G356" t="inlineStr">
        <is>
          <t>MARK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46292</v>
      </c>
      <c r="F357" t="inlineStr">
        <is>
          <t>VÄSTRA GÖTALANDS LÄN</t>
        </is>
      </c>
      <c r="G357" t="inlineStr">
        <is>
          <t>MARK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46292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46292</v>
      </c>
      <c r="F359" t="inlineStr">
        <is>
          <t>VÄSTRA GÖTALANDS LÄN</t>
        </is>
      </c>
      <c r="G359" t="inlineStr">
        <is>
          <t>MARK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46292</v>
      </c>
      <c r="F360" t="inlineStr">
        <is>
          <t>VÄSTRA GÖTALANDS LÄN</t>
        </is>
      </c>
      <c r="G360" t="inlineStr">
        <is>
          <t>MARK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46292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45743</v>
      </c>
      <c r="E362" s="1" t="n">
        <v>46292</v>
      </c>
      <c r="F362" t="inlineStr">
        <is>
          <t>VÄSTRA GÖTALANDS LÄN</t>
        </is>
      </c>
      <c r="G362" t="inlineStr">
        <is>
          <t>MARK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45728</v>
      </c>
      <c r="E363" s="1" t="n">
        <v>46292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45743</v>
      </c>
      <c r="E364" s="1" t="n">
        <v>46292</v>
      </c>
      <c r="F364" t="inlineStr">
        <is>
          <t>VÄSTRA GÖTALANDS LÄN</t>
        </is>
      </c>
      <c r="G364" t="inlineStr">
        <is>
          <t>MARK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46292</v>
      </c>
      <c r="F365" t="inlineStr">
        <is>
          <t>VÄSTRA GÖTALANDS LÄN</t>
        </is>
      </c>
      <c r="G365" t="inlineStr">
        <is>
          <t>MARK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27691-2024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45475</v>
      </c>
      <c r="E366" s="1" t="n">
        <v>46292</v>
      </c>
      <c r="F366" t="inlineStr">
        <is>
          <t>VÄSTRA GÖTALANDS LÄN</t>
        </is>
      </c>
      <c r="G366" t="inlineStr">
        <is>
          <t>MARK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9890-2025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45716</v>
      </c>
      <c r="E367" s="1" t="n">
        <v>46292</v>
      </c>
      <c r="F367" t="inlineStr">
        <is>
          <t>VÄSTRA GÖTALANDS LÄN</t>
        </is>
      </c>
      <c r="G367" t="inlineStr">
        <is>
          <t>MARK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46292</v>
      </c>
      <c r="F368" t="inlineStr">
        <is>
          <t>VÄSTRA GÖTALANDS LÄN</t>
        </is>
      </c>
      <c r="G368" t="inlineStr">
        <is>
          <t>MARK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46292</v>
      </c>
      <c r="F369" t="inlineStr">
        <is>
          <t>VÄSTRA GÖTALANDS LÄN</t>
        </is>
      </c>
      <c r="G369" t="inlineStr">
        <is>
          <t>MARK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46292</v>
      </c>
      <c r="F370" t="inlineStr">
        <is>
          <t>VÄSTRA GÖTALANDS LÄN</t>
        </is>
      </c>
      <c r="G370" t="inlineStr">
        <is>
          <t>MARK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45737</v>
      </c>
      <c r="E371" s="1" t="n">
        <v>46292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46292</v>
      </c>
      <c r="F372" t="inlineStr">
        <is>
          <t>VÄSTRA GÖTALANDS LÄN</t>
        </is>
      </c>
      <c r="G372" t="inlineStr">
        <is>
          <t>MARK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54549-2021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44473</v>
      </c>
      <c r="E373" s="1" t="n">
        <v>46292</v>
      </c>
      <c r="F373" t="inlineStr">
        <is>
          <t>VÄSTRA GÖTALANDS LÄN</t>
        </is>
      </c>
      <c r="G373" t="inlineStr">
        <is>
          <t>MARK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46292</v>
      </c>
      <c r="F374" t="inlineStr">
        <is>
          <t>VÄSTRA GÖTALANDS LÄN</t>
        </is>
      </c>
      <c r="G374" t="inlineStr">
        <is>
          <t>MARK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46292</v>
      </c>
      <c r="F375" t="inlineStr">
        <is>
          <t>VÄSTRA GÖTALANDS LÄN</t>
        </is>
      </c>
      <c r="G375" t="inlineStr">
        <is>
          <t>MARK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46292</v>
      </c>
      <c r="F376" t="inlineStr">
        <is>
          <t>VÄSTRA GÖTALANDS LÄN</t>
        </is>
      </c>
      <c r="G376" t="inlineStr">
        <is>
          <t>MARK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46292</v>
      </c>
      <c r="F377" t="inlineStr">
        <is>
          <t>VÄSTRA GÖTALANDS LÄN</t>
        </is>
      </c>
      <c r="G377" t="inlineStr">
        <is>
          <t>MARK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46292</v>
      </c>
      <c r="F378" t="inlineStr">
        <is>
          <t>VÄSTRA GÖTALANDS LÄN</t>
        </is>
      </c>
      <c r="G378" t="inlineStr">
        <is>
          <t>MARK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46292</v>
      </c>
      <c r="F379" t="inlineStr">
        <is>
          <t>VÄSTRA GÖTALANDS LÄN</t>
        </is>
      </c>
      <c r="G379" t="inlineStr">
        <is>
          <t>MARK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53832-2021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44469</v>
      </c>
      <c r="E380" s="1" t="n">
        <v>46292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44714</v>
      </c>
      <c r="E381" s="1" t="n">
        <v>46292</v>
      </c>
      <c r="F381" t="inlineStr">
        <is>
          <t>VÄSTRA GÖTALANDS LÄN</t>
        </is>
      </c>
      <c r="G381" t="inlineStr">
        <is>
          <t>MARK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44637</v>
      </c>
      <c r="E382" s="1" t="n">
        <v>46292</v>
      </c>
      <c r="F382" t="inlineStr">
        <is>
          <t>VÄSTRA GÖTALANDS LÄN</t>
        </is>
      </c>
      <c r="G382" t="inlineStr">
        <is>
          <t>MARK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46292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46292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46292</v>
      </c>
      <c r="F385" t="inlineStr">
        <is>
          <t>VÄSTRA GÖTALANDS LÄN</t>
        </is>
      </c>
      <c r="G385" t="inlineStr">
        <is>
          <t>MARK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46292</v>
      </c>
      <c r="F386" t="inlineStr">
        <is>
          <t>VÄSTRA GÖTALANDS LÄN</t>
        </is>
      </c>
      <c r="G386" t="inlineStr">
        <is>
          <t>MARK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46292</v>
      </c>
      <c r="F387" t="inlineStr">
        <is>
          <t>VÄSTRA GÖTALANDS LÄN</t>
        </is>
      </c>
      <c r="G387" t="inlineStr">
        <is>
          <t>MARK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46292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46292</v>
      </c>
      <c r="F389" t="inlineStr">
        <is>
          <t>VÄSTRA GÖTALANDS LÄN</t>
        </is>
      </c>
      <c r="G389" t="inlineStr">
        <is>
          <t>MARK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46292</v>
      </c>
      <c r="F390" t="inlineStr">
        <is>
          <t>VÄSTRA GÖTALANDS LÄN</t>
        </is>
      </c>
      <c r="G390" t="inlineStr">
        <is>
          <t>MARK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44588</v>
      </c>
      <c r="E391" s="1" t="n">
        <v>46292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46292</v>
      </c>
      <c r="F392" t="inlineStr">
        <is>
          <t>VÄSTRA GÖTALANDS LÄN</t>
        </is>
      </c>
      <c r="G392" t="inlineStr">
        <is>
          <t>MARK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46292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45218</v>
      </c>
      <c r="E394" s="1" t="n">
        <v>46292</v>
      </c>
      <c r="F394" t="inlineStr">
        <is>
          <t>VÄSTRA GÖTALANDS LÄN</t>
        </is>
      </c>
      <c r="G394" t="inlineStr">
        <is>
          <t>MARK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45056</v>
      </c>
      <c r="E395" s="1" t="n">
        <v>46292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46292</v>
      </c>
      <c r="F396" t="inlineStr">
        <is>
          <t>VÄSTRA GÖTALANDS LÄN</t>
        </is>
      </c>
      <c r="G396" t="inlineStr">
        <is>
          <t>MARK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46292</v>
      </c>
      <c r="F397" t="inlineStr">
        <is>
          <t>VÄSTRA GÖTALANDS LÄN</t>
        </is>
      </c>
      <c r="G397" t="inlineStr">
        <is>
          <t>MARK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46292</v>
      </c>
      <c r="F398" t="inlineStr">
        <is>
          <t>VÄSTRA GÖTALANDS LÄN</t>
        </is>
      </c>
      <c r="G398" t="inlineStr">
        <is>
          <t>MARK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32885-2025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45839</v>
      </c>
      <c r="E399" s="1" t="n">
        <v>46292</v>
      </c>
      <c r="F399" t="inlineStr">
        <is>
          <t>VÄSTRA GÖTALANDS LÄN</t>
        </is>
      </c>
      <c r="G399" t="inlineStr">
        <is>
          <t>MARK</t>
        </is>
      </c>
      <c r="H399" t="inlineStr">
        <is>
          <t>Sveaskog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46292</v>
      </c>
      <c r="F400" t="inlineStr">
        <is>
          <t>VÄSTRA GÖTALANDS LÄN</t>
        </is>
      </c>
      <c r="G400" t="inlineStr">
        <is>
          <t>MARK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46292</v>
      </c>
      <c r="F401" t="inlineStr">
        <is>
          <t>VÄSTRA GÖTALANDS LÄN</t>
        </is>
      </c>
      <c r="G401" t="inlineStr">
        <is>
          <t>MARK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46292</v>
      </c>
      <c r="F402" t="inlineStr">
        <is>
          <t>VÄSTRA GÖTALANDS LÄN</t>
        </is>
      </c>
      <c r="G402" t="inlineStr">
        <is>
          <t>MARK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46292</v>
      </c>
      <c r="F403" t="inlineStr">
        <is>
          <t>VÄSTRA GÖTALANDS LÄN</t>
        </is>
      </c>
      <c r="G403" t="inlineStr">
        <is>
          <t>MARK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46292</v>
      </c>
      <c r="F404" t="inlineStr">
        <is>
          <t>VÄSTRA GÖTALANDS LÄN</t>
        </is>
      </c>
      <c r="G404" t="inlineStr">
        <is>
          <t>MARK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46292</v>
      </c>
      <c r="F405" t="inlineStr">
        <is>
          <t>VÄSTRA GÖTALANDS LÄN</t>
        </is>
      </c>
      <c r="G405" t="inlineStr">
        <is>
          <t>MARK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46292</v>
      </c>
      <c r="F406" t="inlineStr">
        <is>
          <t>VÄSTRA GÖTALANDS LÄN</t>
        </is>
      </c>
      <c r="G406" t="inlineStr">
        <is>
          <t>MARK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45121</v>
      </c>
      <c r="E407" s="1" t="n">
        <v>46292</v>
      </c>
      <c r="F407" t="inlineStr">
        <is>
          <t>VÄSTRA GÖTALANDS LÄN</t>
        </is>
      </c>
      <c r="G407" t="inlineStr">
        <is>
          <t>MARK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46292</v>
      </c>
      <c r="F408" t="inlineStr">
        <is>
          <t>VÄSTRA GÖTALANDS LÄN</t>
        </is>
      </c>
      <c r="G408" t="inlineStr">
        <is>
          <t>MARK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23410-2026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46162</v>
      </c>
      <c r="E409" s="1" t="n">
        <v>46292</v>
      </c>
      <c r="F409" t="inlineStr">
        <is>
          <t>VÄSTRA GÖTALANDS LÄN</t>
        </is>
      </c>
      <c r="G409" t="inlineStr">
        <is>
          <t>MARK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59004-2021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44489</v>
      </c>
      <c r="E410" s="1" t="n">
        <v>46292</v>
      </c>
      <c r="F410" t="inlineStr">
        <is>
          <t>VÄSTRA GÖTALANDS LÄN</t>
        </is>
      </c>
      <c r="G410" t="inlineStr">
        <is>
          <t>MARK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45845</v>
      </c>
      <c r="E411" s="1" t="n">
        <v>46292</v>
      </c>
      <c r="F411" t="inlineStr">
        <is>
          <t>VÄSTRA GÖTALANDS LÄN</t>
        </is>
      </c>
      <c r="G411" t="inlineStr">
        <is>
          <t>MARK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46292</v>
      </c>
      <c r="F412" t="inlineStr">
        <is>
          <t>VÄSTRA GÖTALANDS LÄN</t>
        </is>
      </c>
      <c r="G412" t="inlineStr">
        <is>
          <t>MARK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46292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45789</v>
      </c>
      <c r="E414" s="1" t="n">
        <v>46292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46292</v>
      </c>
      <c r="F415" t="inlineStr">
        <is>
          <t>VÄSTRA GÖTALANDS LÄN</t>
        </is>
      </c>
      <c r="G415" t="inlineStr">
        <is>
          <t>MARK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45358</v>
      </c>
      <c r="E416" s="1" t="n">
        <v>46292</v>
      </c>
      <c r="F416" t="inlineStr">
        <is>
          <t>VÄSTRA GÖTALANDS LÄN</t>
        </is>
      </c>
      <c r="G416" t="inlineStr">
        <is>
          <t>MARK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46165</v>
      </c>
      <c r="E417" s="1" t="n">
        <v>46292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Sveaskog</t>
        </is>
      </c>
      <c r="I417" t="n">
        <v>17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46292</v>
      </c>
      <c r="F418" t="inlineStr">
        <is>
          <t>VÄSTRA GÖTALANDS LÄN</t>
        </is>
      </c>
      <c r="G418" t="inlineStr">
        <is>
          <t>MARK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45847</v>
      </c>
      <c r="E419" s="1" t="n">
        <v>46292</v>
      </c>
      <c r="F419" t="inlineStr">
        <is>
          <t>VÄSTRA GÖTALANDS LÄN</t>
        </is>
      </c>
      <c r="G419" t="inlineStr">
        <is>
          <t>MARK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46292</v>
      </c>
      <c r="F420" t="inlineStr">
        <is>
          <t>VÄSTRA GÖTALANDS LÄN</t>
        </is>
      </c>
      <c r="G420" t="inlineStr">
        <is>
          <t>MARK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46292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45734</v>
      </c>
      <c r="E422" s="1" t="n">
        <v>46292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45776</v>
      </c>
      <c r="E423" s="1" t="n">
        <v>46292</v>
      </c>
      <c r="F423" t="inlineStr">
        <is>
          <t>VÄSTRA GÖTALANDS LÄN</t>
        </is>
      </c>
      <c r="G423" t="inlineStr">
        <is>
          <t>MARK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46292</v>
      </c>
      <c r="F424" t="inlineStr">
        <is>
          <t>VÄSTRA GÖTALANDS LÄN</t>
        </is>
      </c>
      <c r="G424" t="inlineStr">
        <is>
          <t>MARK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46292</v>
      </c>
      <c r="F425" t="inlineStr">
        <is>
          <t>VÄSTRA GÖTALANDS LÄN</t>
        </is>
      </c>
      <c r="G425" t="inlineStr">
        <is>
          <t>MARK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46292</v>
      </c>
      <c r="F426" t="inlineStr">
        <is>
          <t>VÄSTRA GÖTALANDS LÄN</t>
        </is>
      </c>
      <c r="G426" t="inlineStr">
        <is>
          <t>MARK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46292</v>
      </c>
      <c r="F427" t="inlineStr">
        <is>
          <t>VÄSTRA GÖTALANDS LÄN</t>
        </is>
      </c>
      <c r="G427" t="inlineStr">
        <is>
          <t>MARK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69289-2021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44531</v>
      </c>
      <c r="E428" s="1" t="n">
        <v>46292</v>
      </c>
      <c r="F428" t="inlineStr">
        <is>
          <t>VÄSTRA GÖTALANDS LÄN</t>
        </is>
      </c>
      <c r="G428" t="inlineStr">
        <is>
          <t>MARK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46292</v>
      </c>
      <c r="F429" t="inlineStr">
        <is>
          <t>VÄSTRA GÖTALANDS LÄN</t>
        </is>
      </c>
      <c r="G429" t="inlineStr">
        <is>
          <t>MARK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46292</v>
      </c>
      <c r="F430" t="inlineStr">
        <is>
          <t>VÄSTRA GÖTALANDS LÄN</t>
        </is>
      </c>
      <c r="G430" t="inlineStr">
        <is>
          <t>MARK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46292</v>
      </c>
      <c r="F431" t="inlineStr">
        <is>
          <t>VÄSTRA GÖTALANDS LÄN</t>
        </is>
      </c>
      <c r="G431" t="inlineStr">
        <is>
          <t>MARK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46292</v>
      </c>
      <c r="F432" t="inlineStr">
        <is>
          <t>VÄSTRA GÖTALANDS LÄN</t>
        </is>
      </c>
      <c r="G432" t="inlineStr">
        <is>
          <t>MARK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46292</v>
      </c>
      <c r="F433" t="inlineStr">
        <is>
          <t>VÄSTRA GÖTALANDS LÄN</t>
        </is>
      </c>
      <c r="G433" t="inlineStr">
        <is>
          <t>MARK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46292</v>
      </c>
      <c r="F434" t="inlineStr">
        <is>
          <t>VÄSTRA GÖTALANDS LÄN</t>
        </is>
      </c>
      <c r="G434" t="inlineStr">
        <is>
          <t>MARK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46292</v>
      </c>
      <c r="F435" t="inlineStr">
        <is>
          <t>VÄSTRA GÖTALANDS LÄN</t>
        </is>
      </c>
      <c r="G435" t="inlineStr">
        <is>
          <t>MARK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46292</v>
      </c>
      <c r="F436" t="inlineStr">
        <is>
          <t>VÄSTRA GÖTALANDS LÄN</t>
        </is>
      </c>
      <c r="G436" t="inlineStr">
        <is>
          <t>MARK</t>
        </is>
      </c>
      <c r="I436" t="n">
        <v>9.800000000000001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46292</v>
      </c>
      <c r="F437" t="inlineStr">
        <is>
          <t>VÄSTRA GÖTALANDS LÄN</t>
        </is>
      </c>
      <c r="G437" t="inlineStr">
        <is>
          <t>MARK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45862</v>
      </c>
      <c r="E438" s="1" t="n">
        <v>46292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46292</v>
      </c>
      <c r="F439" t="inlineStr">
        <is>
          <t>VÄSTRA GÖTALANDS LÄN</t>
        </is>
      </c>
      <c r="G439" t="inlineStr">
        <is>
          <t>MARK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45867</v>
      </c>
      <c r="E440" s="1" t="n">
        <v>46292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46292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46292</v>
      </c>
      <c r="F442" t="inlineStr">
        <is>
          <t>VÄSTRA GÖTALANDS LÄN</t>
        </is>
      </c>
      <c r="G442" t="inlineStr">
        <is>
          <t>MARK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46292</v>
      </c>
      <c r="F443" t="inlineStr">
        <is>
          <t>VÄSTRA GÖTALANDS LÄN</t>
        </is>
      </c>
      <c r="G443" t="inlineStr">
        <is>
          <t>MARK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45867</v>
      </c>
      <c r="E444" s="1" t="n">
        <v>46292</v>
      </c>
      <c r="F444" t="inlineStr">
        <is>
          <t>VÄSTRA GÖTALANDS LÄN</t>
        </is>
      </c>
      <c r="G444" t="inlineStr">
        <is>
          <t>MARK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45106</v>
      </c>
      <c r="E445" s="1" t="n">
        <v>46292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29368-2023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45106</v>
      </c>
      <c r="E446" s="1" t="n">
        <v>46292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46292</v>
      </c>
      <c r="F447" t="inlineStr">
        <is>
          <t>VÄSTRA GÖTALANDS LÄN</t>
        </is>
      </c>
      <c r="G447" t="inlineStr">
        <is>
          <t>MARK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46292</v>
      </c>
      <c r="F448" t="inlineStr">
        <is>
          <t>VÄSTRA GÖTALANDS LÄN</t>
        </is>
      </c>
      <c r="G448" t="inlineStr">
        <is>
          <t>MARK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46292</v>
      </c>
      <c r="F449" t="inlineStr">
        <is>
          <t>VÄSTRA GÖTALANDS LÄN</t>
        </is>
      </c>
      <c r="G449" t="inlineStr">
        <is>
          <t>MARK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46292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46292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44901</v>
      </c>
      <c r="E452" s="1" t="n">
        <v>46292</v>
      </c>
      <c r="F452" t="inlineStr">
        <is>
          <t>VÄSTRA GÖTALANDS LÄN</t>
        </is>
      </c>
      <c r="G452" t="inlineStr">
        <is>
          <t>MARK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46292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46292</v>
      </c>
      <c r="F454" t="inlineStr">
        <is>
          <t>VÄSTRA GÖTALANDS LÄN</t>
        </is>
      </c>
      <c r="G454" t="inlineStr">
        <is>
          <t>MARK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46292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45358</v>
      </c>
      <c r="E456" s="1" t="n">
        <v>46292</v>
      </c>
      <c r="F456" t="inlineStr">
        <is>
          <t>VÄSTRA GÖTALANDS LÄN</t>
        </is>
      </c>
      <c r="G456" t="inlineStr">
        <is>
          <t>MARK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46292</v>
      </c>
      <c r="F457" t="inlineStr">
        <is>
          <t>VÄSTRA GÖTALANDS LÄN</t>
        </is>
      </c>
      <c r="G457" t="inlineStr">
        <is>
          <t>MARK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46292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45124</v>
      </c>
      <c r="E459" s="1" t="n">
        <v>46292</v>
      </c>
      <c r="F459" t="inlineStr">
        <is>
          <t>VÄSTRA GÖTALANDS LÄN</t>
        </is>
      </c>
      <c r="G459" t="inlineStr">
        <is>
          <t>MARK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44944</v>
      </c>
      <c r="E460" s="1" t="n">
        <v>46292</v>
      </c>
      <c r="F460" t="inlineStr">
        <is>
          <t>VÄSTRA GÖTALANDS LÄN</t>
        </is>
      </c>
      <c r="G460" t="inlineStr">
        <is>
          <t>MARK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46292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46292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45127</v>
      </c>
      <c r="E463" s="1" t="n">
        <v>46292</v>
      </c>
      <c r="F463" t="inlineStr">
        <is>
          <t>VÄSTRA GÖTALANDS LÄN</t>
        </is>
      </c>
      <c r="G463" t="inlineStr">
        <is>
          <t>MARK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46292</v>
      </c>
      <c r="F464" t="inlineStr">
        <is>
          <t>VÄSTRA GÖTALANDS LÄN</t>
        </is>
      </c>
      <c r="G464" t="inlineStr">
        <is>
          <t>MARK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46292</v>
      </c>
      <c r="F465" t="inlineStr">
        <is>
          <t>VÄSTRA GÖTALANDS LÄN</t>
        </is>
      </c>
      <c r="G465" t="inlineStr">
        <is>
          <t>MARK</t>
        </is>
      </c>
      <c r="I465" t="n">
        <v>11.8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46292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46292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46292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46292</v>
      </c>
      <c r="F469" t="inlineStr">
        <is>
          <t>VÄSTRA GÖTALANDS LÄN</t>
        </is>
      </c>
      <c r="G469" t="inlineStr">
        <is>
          <t>MARK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44973</v>
      </c>
      <c r="E470" s="1" t="n">
        <v>46292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46292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46292</v>
      </c>
      <c r="F472" t="inlineStr">
        <is>
          <t>VÄSTRA GÖTALANDS LÄN</t>
        </is>
      </c>
      <c r="G472" t="inlineStr">
        <is>
          <t>MARK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45629</v>
      </c>
      <c r="E473" s="1" t="n">
        <v>46292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46292</v>
      </c>
      <c r="F474" t="inlineStr">
        <is>
          <t>VÄSTRA GÖTALANDS LÄN</t>
        </is>
      </c>
      <c r="G474" t="inlineStr">
        <is>
          <t>MARK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46292</v>
      </c>
      <c r="F475" t="inlineStr">
        <is>
          <t>VÄSTRA GÖTALANDS LÄN</t>
        </is>
      </c>
      <c r="G475" t="inlineStr">
        <is>
          <t>MARK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44804</v>
      </c>
      <c r="E476" s="1" t="n">
        <v>46292</v>
      </c>
      <c r="F476" t="inlineStr">
        <is>
          <t>VÄSTRA GÖTALANDS LÄN</t>
        </is>
      </c>
      <c r="G476" t="inlineStr">
        <is>
          <t>MARK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46292</v>
      </c>
      <c r="F477" t="inlineStr">
        <is>
          <t>VÄSTRA GÖTALANDS LÄN</t>
        </is>
      </c>
      <c r="G477" t="inlineStr">
        <is>
          <t>MARK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46292</v>
      </c>
      <c r="F478" t="inlineStr">
        <is>
          <t>VÄSTRA GÖTALANDS LÄN</t>
        </is>
      </c>
      <c r="G478" t="inlineStr">
        <is>
          <t>MARK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27675-2026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46190</v>
      </c>
      <c r="E479" s="1" t="n">
        <v>46292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45316</v>
      </c>
      <c r="E480" s="1" t="n">
        <v>46292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45821</v>
      </c>
      <c r="E481" s="1" t="n">
        <v>46292</v>
      </c>
      <c r="F481" t="inlineStr">
        <is>
          <t>VÄSTRA GÖTALANDS LÄN</t>
        </is>
      </c>
      <c r="G481" t="inlineStr">
        <is>
          <t>MARK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46292</v>
      </c>
      <c r="F482" t="inlineStr">
        <is>
          <t>VÄSTRA GÖTALANDS LÄN</t>
        </is>
      </c>
      <c r="G482" t="inlineStr">
        <is>
          <t>MARK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46292</v>
      </c>
      <c r="F483" t="inlineStr">
        <is>
          <t>VÄSTRA GÖTALANDS LÄN</t>
        </is>
      </c>
      <c r="G483" t="inlineStr">
        <is>
          <t>MARK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46292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46292</v>
      </c>
      <c r="F485" t="inlineStr">
        <is>
          <t>VÄSTRA GÖTALANDS LÄN</t>
        </is>
      </c>
      <c r="G485" t="inlineStr">
        <is>
          <t>MARK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46292</v>
      </c>
      <c r="F486" t="inlineStr">
        <is>
          <t>VÄSTRA GÖTALANDS LÄN</t>
        </is>
      </c>
      <c r="G486" t="inlineStr">
        <is>
          <t>MARK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46292</v>
      </c>
      <c r="F487" t="inlineStr">
        <is>
          <t>VÄSTRA GÖTALANDS LÄN</t>
        </is>
      </c>
      <c r="G487" t="inlineStr">
        <is>
          <t>MARK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28020-2026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46195</v>
      </c>
      <c r="E488" s="1" t="n">
        <v>46292</v>
      </c>
      <c r="F488" t="inlineStr">
        <is>
          <t>VÄSTRA GÖTALANDS LÄN</t>
        </is>
      </c>
      <c r="G488" t="inlineStr">
        <is>
          <t>MARK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46292</v>
      </c>
      <c r="F489" t="inlineStr">
        <is>
          <t>VÄSTRA GÖTALANDS LÄN</t>
        </is>
      </c>
      <c r="G489" t="inlineStr">
        <is>
          <t>MARK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46292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46292</v>
      </c>
      <c r="F491" t="inlineStr">
        <is>
          <t>VÄSTRA GÖTALANDS LÄN</t>
        </is>
      </c>
      <c r="G491" t="inlineStr">
        <is>
          <t>MARK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46292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46292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28086-2026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46195</v>
      </c>
      <c r="E494" s="1" t="n">
        <v>46292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37060-2025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45875</v>
      </c>
      <c r="E495" s="1" t="n">
        <v>46292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46292</v>
      </c>
      <c r="F496" t="inlineStr">
        <is>
          <t>VÄSTRA GÖTALANDS LÄN</t>
        </is>
      </c>
      <c r="G496" t="inlineStr">
        <is>
          <t>MARK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46292</v>
      </c>
      <c r="F497" t="inlineStr">
        <is>
          <t>VÄSTRA GÖTALANDS LÄN</t>
        </is>
      </c>
      <c r="G497" t="inlineStr">
        <is>
          <t>MARK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46292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45631</v>
      </c>
      <c r="E499" s="1" t="n">
        <v>46292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46292</v>
      </c>
      <c r="F500" t="inlineStr">
        <is>
          <t>VÄSTRA GÖTALANDS LÄN</t>
        </is>
      </c>
      <c r="G500" t="inlineStr">
        <is>
          <t>MARK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46292</v>
      </c>
      <c r="F501" t="inlineStr">
        <is>
          <t>VÄSTRA GÖTALANDS LÄN</t>
        </is>
      </c>
      <c r="G501" t="inlineStr">
        <is>
          <t>MARK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46292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46292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Kommuner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46292</v>
      </c>
      <c r="F504" t="inlineStr">
        <is>
          <t>VÄSTRA GÖTALANDS LÄN</t>
        </is>
      </c>
      <c r="G504" t="inlineStr">
        <is>
          <t>MARK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44648</v>
      </c>
      <c r="E505" s="1" t="n">
        <v>46292</v>
      </c>
      <c r="F505" t="inlineStr">
        <is>
          <t>VÄSTRA GÖTALANDS LÄN</t>
        </is>
      </c>
      <c r="G505" t="inlineStr">
        <is>
          <t>MARK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46292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35431-2022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44798</v>
      </c>
      <c r="E507" s="1" t="n">
        <v>46292</v>
      </c>
      <c r="F507" t="inlineStr">
        <is>
          <t>VÄSTRA GÖTALANDS LÄN</t>
        </is>
      </c>
      <c r="G507" t="inlineStr">
        <is>
          <t>MARK</t>
        </is>
      </c>
      <c r="H507" t="inlineStr">
        <is>
          <t>Sveaskog</t>
        </is>
      </c>
      <c r="I507" t="n">
        <v>8.5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46292</v>
      </c>
      <c r="F508" t="inlineStr">
        <is>
          <t>VÄSTRA GÖTALANDS LÄN</t>
        </is>
      </c>
      <c r="G508" t="inlineStr">
        <is>
          <t>MARK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45884</v>
      </c>
      <c r="E509" s="1" t="n">
        <v>46292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46292</v>
      </c>
      <c r="F510" t="inlineStr">
        <is>
          <t>VÄSTRA GÖTALANDS LÄN</t>
        </is>
      </c>
      <c r="G510" t="inlineStr">
        <is>
          <t>MARK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46292</v>
      </c>
      <c r="F511" t="inlineStr">
        <is>
          <t>VÄSTRA GÖTALANDS LÄN</t>
        </is>
      </c>
      <c r="G511" t="inlineStr">
        <is>
          <t>MARK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46292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46292</v>
      </c>
      <c r="F513" t="inlineStr">
        <is>
          <t>VÄSTRA GÖTALANDS LÄN</t>
        </is>
      </c>
      <c r="G513" t="inlineStr">
        <is>
          <t>MARK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46292</v>
      </c>
      <c r="F514" t="inlineStr">
        <is>
          <t>VÄSTRA GÖTALANDS LÄN</t>
        </is>
      </c>
      <c r="G514" t="inlineStr">
        <is>
          <t>MARK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46292</v>
      </c>
      <c r="F515" t="inlineStr">
        <is>
          <t>VÄSTRA GÖTALANDS LÄN</t>
        </is>
      </c>
      <c r="G515" t="inlineStr">
        <is>
          <t>MARK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46292</v>
      </c>
      <c r="F516" t="inlineStr">
        <is>
          <t>VÄSTRA GÖTALANDS LÄN</t>
        </is>
      </c>
      <c r="G516" t="inlineStr">
        <is>
          <t>MARK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46292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46292</v>
      </c>
      <c r="F518" t="inlineStr">
        <is>
          <t>VÄSTRA GÖTALANDS LÄN</t>
        </is>
      </c>
      <c r="G518" t="inlineStr">
        <is>
          <t>MARK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46292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46211</v>
      </c>
      <c r="E520" s="1" t="n">
        <v>46292</v>
      </c>
      <c r="F520" t="inlineStr">
        <is>
          <t>VÄSTRA GÖTALANDS LÄN</t>
        </is>
      </c>
      <c r="G520" t="inlineStr">
        <is>
          <t>MARK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46292</v>
      </c>
      <c r="F521" t="inlineStr">
        <is>
          <t>VÄSTRA GÖTALANDS LÄN</t>
        </is>
      </c>
      <c r="G521" t="inlineStr">
        <is>
          <t>MARK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25911-2022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44734</v>
      </c>
      <c r="E522" s="1" t="n">
        <v>46292</v>
      </c>
      <c r="F522" t="inlineStr">
        <is>
          <t>VÄSTRA GÖTALANDS LÄN</t>
        </is>
      </c>
      <c r="G522" t="inlineStr">
        <is>
          <t>MARK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10583-2022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44624</v>
      </c>
      <c r="E523" s="1" t="n">
        <v>46292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46292</v>
      </c>
      <c r="F524" t="inlineStr">
        <is>
          <t>VÄSTRA GÖTALANDS LÄN</t>
        </is>
      </c>
      <c r="G524" t="inlineStr">
        <is>
          <t>MARK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46292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43404-2024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46292</v>
      </c>
      <c r="F526" t="inlineStr">
        <is>
          <t>VÄSTRA GÖTALANDS LÄN</t>
        </is>
      </c>
      <c r="G526" t="inlineStr">
        <is>
          <t>MARK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46292</v>
      </c>
      <c r="F527" t="inlineStr">
        <is>
          <t>VÄSTRA GÖTALANDS LÄN</t>
        </is>
      </c>
      <c r="G527" t="inlineStr">
        <is>
          <t>MARK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44838</v>
      </c>
      <c r="E528" s="1" t="n">
        <v>46292</v>
      </c>
      <c r="F528" t="inlineStr">
        <is>
          <t>VÄSTRA GÖTALANDS LÄN</t>
        </is>
      </c>
      <c r="G528" t="inlineStr">
        <is>
          <t>MARK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45137</v>
      </c>
      <c r="E529" s="1" t="n">
        <v>46292</v>
      </c>
      <c r="F529" t="inlineStr">
        <is>
          <t>VÄSTRA GÖTALANDS LÄN</t>
        </is>
      </c>
      <c r="G529" t="inlineStr">
        <is>
          <t>MARK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46292</v>
      </c>
      <c r="F530" t="inlineStr">
        <is>
          <t>VÄSTRA GÖTALANDS LÄN</t>
        </is>
      </c>
      <c r="G530" t="inlineStr">
        <is>
          <t>MARK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46259</v>
      </c>
      <c r="E531" s="1" t="n">
        <v>46292</v>
      </c>
      <c r="F531" t="inlineStr">
        <is>
          <t>VÄSTRA GÖTALANDS LÄN</t>
        </is>
      </c>
      <c r="G531" t="inlineStr">
        <is>
          <t>MARK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46292</v>
      </c>
      <c r="F532" t="inlineStr">
        <is>
          <t>VÄSTRA GÖTALANDS LÄN</t>
        </is>
      </c>
      <c r="G532" t="inlineStr">
        <is>
          <t>MARK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46292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44715</v>
      </c>
      <c r="E534" s="1" t="n">
        <v>46292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45422</v>
      </c>
      <c r="E535" s="1" t="n">
        <v>46292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46292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46292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46292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45299</v>
      </c>
      <c r="E539" s="1" t="n">
        <v>46292</v>
      </c>
      <c r="F539" t="inlineStr">
        <is>
          <t>VÄSTRA GÖTALANDS LÄN</t>
        </is>
      </c>
      <c r="G539" t="inlineStr">
        <is>
          <t>MARK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11518-2024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45373</v>
      </c>
      <c r="E540" s="1" t="n">
        <v>46292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46292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46292</v>
      </c>
      <c r="F542" t="inlineStr">
        <is>
          <t>VÄSTRA GÖTALANDS LÄN</t>
        </is>
      </c>
      <c r="G542" t="inlineStr">
        <is>
          <t>MARK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45750</v>
      </c>
      <c r="E543" s="1" t="n">
        <v>46292</v>
      </c>
      <c r="F543" t="inlineStr">
        <is>
          <t>VÄSTRA GÖTALANDS LÄN</t>
        </is>
      </c>
      <c r="G543" t="inlineStr">
        <is>
          <t>MARK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44888</v>
      </c>
      <c r="E544" s="1" t="n">
        <v>46292</v>
      </c>
      <c r="F544" t="inlineStr">
        <is>
          <t>VÄSTRA GÖTALANDS LÄN</t>
        </is>
      </c>
      <c r="G544" t="inlineStr">
        <is>
          <t>MARK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46292</v>
      </c>
      <c r="F545" t="inlineStr">
        <is>
          <t>VÄSTRA GÖTALANDS LÄN</t>
        </is>
      </c>
      <c r="G545" t="inlineStr">
        <is>
          <t>MARK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46292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46292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46231</v>
      </c>
      <c r="E548" s="1" t="n">
        <v>46292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Kyrkan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46292</v>
      </c>
      <c r="F549" t="inlineStr">
        <is>
          <t>VÄSTRA GÖTALANDS LÄN</t>
        </is>
      </c>
      <c r="G549" t="inlineStr">
        <is>
          <t>MARK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46292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46292</v>
      </c>
      <c r="F551" t="inlineStr">
        <is>
          <t>VÄSTRA GÖTALANDS LÄN</t>
        </is>
      </c>
      <c r="G551" t="inlineStr">
        <is>
          <t>MARK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46292</v>
      </c>
      <c r="F552" t="inlineStr">
        <is>
          <t>VÄSTRA GÖTALANDS LÄN</t>
        </is>
      </c>
      <c r="G552" t="inlineStr">
        <is>
          <t>MARK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45755</v>
      </c>
      <c r="E553" s="1" t="n">
        <v>46292</v>
      </c>
      <c r="F553" t="inlineStr">
        <is>
          <t>VÄSTRA GÖTALANDS LÄN</t>
        </is>
      </c>
      <c r="G553" t="inlineStr">
        <is>
          <t>MARK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46292</v>
      </c>
      <c r="F554" t="inlineStr">
        <is>
          <t>VÄSTRA GÖTALANDS LÄN</t>
        </is>
      </c>
      <c r="G554" t="inlineStr">
        <is>
          <t>MARK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44987</v>
      </c>
      <c r="E555" s="1" t="n">
        <v>46292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32025-2026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46233</v>
      </c>
      <c r="E556" s="1" t="n">
        <v>46292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46292</v>
      </c>
      <c r="F557" t="inlineStr">
        <is>
          <t>VÄSTRA GÖTALANDS LÄN</t>
        </is>
      </c>
      <c r="G557" t="inlineStr">
        <is>
          <t>MARK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45264</v>
      </c>
      <c r="E558" s="1" t="n">
        <v>46292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46232</v>
      </c>
      <c r="E559" s="1" t="n">
        <v>46292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46292</v>
      </c>
      <c r="F560" t="inlineStr">
        <is>
          <t>VÄSTRA GÖTALANDS LÄN</t>
        </is>
      </c>
      <c r="G560" t="inlineStr">
        <is>
          <t>MARK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32024-2026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46233</v>
      </c>
      <c r="E561" s="1" t="n">
        <v>46292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46292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46275</v>
      </c>
      <c r="E563" s="1" t="n">
        <v>46292</v>
      </c>
      <c r="F563" t="inlineStr">
        <is>
          <t>VÄSTRA GÖTALANDS LÄN</t>
        </is>
      </c>
      <c r="G563" t="inlineStr">
        <is>
          <t>MARK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46292</v>
      </c>
      <c r="F564" t="inlineStr">
        <is>
          <t>VÄSTRA GÖTALANDS LÄN</t>
        </is>
      </c>
      <c r="G564" t="inlineStr">
        <is>
          <t>MARK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46292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46237</v>
      </c>
      <c r="E566" s="1" t="n">
        <v>46292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46292</v>
      </c>
      <c r="F567" t="inlineStr">
        <is>
          <t>VÄSTRA GÖTALANDS LÄN</t>
        </is>
      </c>
      <c r="G567" t="inlineStr">
        <is>
          <t>MARK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46292</v>
      </c>
      <c r="F568" t="inlineStr">
        <is>
          <t>VÄSTRA GÖTALANDS LÄN</t>
        </is>
      </c>
      <c r="G568" t="inlineStr">
        <is>
          <t>MARK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45397</v>
      </c>
      <c r="E569" s="1" t="n">
        <v>46292</v>
      </c>
      <c r="F569" t="inlineStr">
        <is>
          <t>VÄSTRA GÖTALANDS LÄN</t>
        </is>
      </c>
      <c r="G569" t="inlineStr">
        <is>
          <t>MARK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46292</v>
      </c>
      <c r="F570" t="inlineStr">
        <is>
          <t>VÄSTRA GÖTALANDS LÄN</t>
        </is>
      </c>
      <c r="G570" t="inlineStr">
        <is>
          <t>MARK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46237</v>
      </c>
      <c r="E571" s="1" t="n">
        <v>46292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46292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59605-2023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46292</v>
      </c>
      <c r="F573" t="inlineStr">
        <is>
          <t>VÄSTRA GÖTALANDS LÄN</t>
        </is>
      </c>
      <c r="G573" t="inlineStr">
        <is>
          <t>MARK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46292</v>
      </c>
      <c r="F574" t="inlineStr">
        <is>
          <t>VÄSTRA GÖTALANDS LÄN</t>
        </is>
      </c>
      <c r="G574" t="inlineStr">
        <is>
          <t>MARK</t>
        </is>
      </c>
      <c r="I574" t="n">
        <v>11.4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45230</v>
      </c>
      <c r="E575" s="1" t="n">
        <v>46292</v>
      </c>
      <c r="F575" t="inlineStr">
        <is>
          <t>VÄSTRA GÖTALANDS LÄN</t>
        </is>
      </c>
      <c r="G575" t="inlineStr">
        <is>
          <t>MARK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45428</v>
      </c>
      <c r="E576" s="1" t="n">
        <v>46292</v>
      </c>
      <c r="F576" t="inlineStr">
        <is>
          <t>VÄSTRA GÖTALANDS LÄN</t>
        </is>
      </c>
      <c r="G576" t="inlineStr">
        <is>
          <t>MARK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45137</v>
      </c>
      <c r="E577" s="1" t="n">
        <v>46292</v>
      </c>
      <c r="F577" t="inlineStr">
        <is>
          <t>VÄSTRA GÖTALANDS LÄN</t>
        </is>
      </c>
      <c r="G577" t="inlineStr">
        <is>
          <t>MARK</t>
        </is>
      </c>
      <c r="I577" t="n">
        <v>12.2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46292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46292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46292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46292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46292</v>
      </c>
      <c r="F582" t="inlineStr">
        <is>
          <t>VÄSTRA GÖTALANDS LÄN</t>
        </is>
      </c>
      <c r="G582" t="inlineStr">
        <is>
          <t>MARK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44897</v>
      </c>
      <c r="E583" s="1" t="n">
        <v>46292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44935</v>
      </c>
      <c r="E584" s="1" t="n">
        <v>46292</v>
      </c>
      <c r="F584" t="inlineStr">
        <is>
          <t>VÄSTRA GÖTALANDS LÄN</t>
        </is>
      </c>
      <c r="G584" t="inlineStr">
        <is>
          <t>MARK</t>
        </is>
      </c>
      <c r="I584" t="n">
        <v>26.5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46283</v>
      </c>
      <c r="E585" s="1" t="n">
        <v>46292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8403-2022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44610</v>
      </c>
      <c r="E586" s="1" t="n">
        <v>46292</v>
      </c>
      <c r="F586" t="inlineStr">
        <is>
          <t>VÄSTRA GÖTALANDS LÄN</t>
        </is>
      </c>
      <c r="G586" t="inlineStr">
        <is>
          <t>MARK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19608-2024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45432</v>
      </c>
      <c r="E587" s="1" t="n">
        <v>46292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44603</v>
      </c>
      <c r="E588" s="1" t="n">
        <v>46292</v>
      </c>
      <c r="F588" t="inlineStr">
        <is>
          <t>VÄSTRA GÖTALANDS LÄN</t>
        </is>
      </c>
      <c r="G588" t="inlineStr">
        <is>
          <t>MARK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9017-2022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44615</v>
      </c>
      <c r="E589" s="1" t="n">
        <v>46292</v>
      </c>
      <c r="F589" t="inlineStr">
        <is>
          <t>VÄSTRA GÖTALANDS LÄN</t>
        </is>
      </c>
      <c r="G589" t="inlineStr">
        <is>
          <t>MARK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46292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46292</v>
      </c>
      <c r="F591" t="inlineStr">
        <is>
          <t>VÄSTRA GÖTALANDS LÄN</t>
        </is>
      </c>
      <c r="G591" t="inlineStr">
        <is>
          <t>MARK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46292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44588</v>
      </c>
      <c r="E593" s="1" t="n">
        <v>46292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46292</v>
      </c>
      <c r="F594" t="inlineStr">
        <is>
          <t>VÄSTRA GÖTALANDS LÄN</t>
        </is>
      </c>
      <c r="G594" t="inlineStr">
        <is>
          <t>MARK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44937</v>
      </c>
      <c r="E595" s="1" t="n">
        <v>46292</v>
      </c>
      <c r="F595" t="inlineStr">
        <is>
          <t>VÄSTRA GÖTALANDS LÄN</t>
        </is>
      </c>
      <c r="G595" t="inlineStr">
        <is>
          <t>MARK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45710</v>
      </c>
      <c r="E596" s="1" t="n">
        <v>46292</v>
      </c>
      <c r="F596" t="inlineStr">
        <is>
          <t>VÄSTRA GÖTALANDS LÄN</t>
        </is>
      </c>
      <c r="G596" t="inlineStr">
        <is>
          <t>MARK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45332</v>
      </c>
      <c r="E597" s="1" t="n">
        <v>46292</v>
      </c>
      <c r="F597" t="inlineStr">
        <is>
          <t>VÄSTRA GÖTALANDS LÄN</t>
        </is>
      </c>
      <c r="G597" t="inlineStr">
        <is>
          <t>MARK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45898</v>
      </c>
      <c r="E598" s="1" t="n">
        <v>46292</v>
      </c>
      <c r="F598" t="inlineStr">
        <is>
          <t>VÄSTRA GÖTALANDS LÄN</t>
        </is>
      </c>
      <c r="G598" t="inlineStr">
        <is>
          <t>MARK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46292</v>
      </c>
      <c r="F599" t="inlineStr">
        <is>
          <t>VÄSTRA GÖTALANDS LÄN</t>
        </is>
      </c>
      <c r="G599" t="inlineStr">
        <is>
          <t>MARK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44760</v>
      </c>
      <c r="E600" s="1" t="n">
        <v>46292</v>
      </c>
      <c r="F600" t="inlineStr">
        <is>
          <t>VÄSTRA GÖTALANDS LÄN</t>
        </is>
      </c>
      <c r="G600" t="inlineStr">
        <is>
          <t>MARK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11575-2022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44631</v>
      </c>
      <c r="E601" s="1" t="n">
        <v>46292</v>
      </c>
      <c r="F601" t="inlineStr">
        <is>
          <t>VÄSTRA GÖTALANDS LÄN</t>
        </is>
      </c>
      <c r="G601" t="inlineStr">
        <is>
          <t>MARK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11655-2023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44994</v>
      </c>
      <c r="E602" s="1" t="n">
        <v>46292</v>
      </c>
      <c r="F602" t="inlineStr">
        <is>
          <t>VÄSTRA GÖTALANDS LÄN</t>
        </is>
      </c>
      <c r="G602" t="inlineStr">
        <is>
          <t>MARK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46292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44715</v>
      </c>
      <c r="E604" s="1" t="n">
        <v>46292</v>
      </c>
      <c r="F604" t="inlineStr">
        <is>
          <t>VÄSTRA GÖTALANDS LÄN</t>
        </is>
      </c>
      <c r="G604" t="inlineStr">
        <is>
          <t>MARK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44982</v>
      </c>
      <c r="E605" s="1" t="n">
        <v>46292</v>
      </c>
      <c r="F605" t="inlineStr">
        <is>
          <t>VÄSTRA GÖTALANDS LÄN</t>
        </is>
      </c>
      <c r="G605" t="inlineStr">
        <is>
          <t>MARK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45688</v>
      </c>
      <c r="E606" s="1" t="n">
        <v>46292</v>
      </c>
      <c r="F606" t="inlineStr">
        <is>
          <t>VÄSTRA GÖTALANDS LÄN</t>
        </is>
      </c>
      <c r="G606" t="inlineStr">
        <is>
          <t>MARK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45755</v>
      </c>
      <c r="E607" s="1" t="n">
        <v>46292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11414-2022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44630</v>
      </c>
      <c r="E608" s="1" t="n">
        <v>46292</v>
      </c>
      <c r="F608" t="inlineStr">
        <is>
          <t>VÄSTRA GÖTALANDS LÄN</t>
        </is>
      </c>
      <c r="G608" t="inlineStr">
        <is>
          <t>MARK</t>
        </is>
      </c>
      <c r="H608" t="inlineStr">
        <is>
          <t>Sveaskog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8856-2023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44978</v>
      </c>
      <c r="E609" s="1" t="n">
        <v>46292</v>
      </c>
      <c r="F609" t="inlineStr">
        <is>
          <t>VÄSTRA GÖTALANDS LÄN</t>
        </is>
      </c>
      <c r="G609" t="inlineStr">
        <is>
          <t>MARK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10890-2024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45370</v>
      </c>
      <c r="E610" s="1" t="n">
        <v>46292</v>
      </c>
      <c r="F610" t="inlineStr">
        <is>
          <t>VÄSTRA GÖTALANDS LÄN</t>
        </is>
      </c>
      <c r="G610" t="inlineStr">
        <is>
          <t>MARK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44963</v>
      </c>
      <c r="E611" s="1" t="n">
        <v>46292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46292</v>
      </c>
      <c r="F612" t="inlineStr">
        <is>
          <t>VÄSTRA GÖTALANDS LÄN</t>
        </is>
      </c>
      <c r="G612" t="inlineStr">
        <is>
          <t>MARK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45134</v>
      </c>
      <c r="E613" s="1" t="n">
        <v>46292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52242-2023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45224</v>
      </c>
      <c r="E614" s="1" t="n">
        <v>46292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45540</v>
      </c>
      <c r="E615" s="1" t="n">
        <v>46292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45686</v>
      </c>
      <c r="E616" s="1" t="n">
        <v>46292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46292</v>
      </c>
      <c r="F617" t="inlineStr">
        <is>
          <t>VÄSTRA GÖTALANDS LÄN</t>
        </is>
      </c>
      <c r="G617" t="inlineStr">
        <is>
          <t>MARK</t>
        </is>
      </c>
      <c r="H617" t="inlineStr">
        <is>
          <t>Kyrkan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45442</v>
      </c>
      <c r="E618" s="1" t="n">
        <v>46292</v>
      </c>
      <c r="F618" t="inlineStr">
        <is>
          <t>VÄSTRA GÖTALANDS LÄN</t>
        </is>
      </c>
      <c r="G618" t="inlineStr">
        <is>
          <t>MARK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47973-2023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45204</v>
      </c>
      <c r="E619" s="1" t="n">
        <v>46292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36772-2023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46292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44950</v>
      </c>
      <c r="E621" s="1" t="n">
        <v>46292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44712</v>
      </c>
      <c r="E622" s="1" t="n">
        <v>46292</v>
      </c>
      <c r="F622" t="inlineStr">
        <is>
          <t>VÄSTRA GÖTALANDS LÄN</t>
        </is>
      </c>
      <c r="G622" t="inlineStr">
        <is>
          <t>MARK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56904-2023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46292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36305-2024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46292</v>
      </c>
      <c r="F624" t="inlineStr">
        <is>
          <t>VÄSTRA GÖTALANDS LÄN</t>
        </is>
      </c>
      <c r="G624" t="inlineStr">
        <is>
          <t>MARK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45484</v>
      </c>
      <c r="E625" s="1" t="n">
        <v>46292</v>
      </c>
      <c r="F625" t="inlineStr">
        <is>
          <t>VÄSTRA GÖTALANDS LÄN</t>
        </is>
      </c>
      <c r="G625" t="inlineStr">
        <is>
          <t>MARK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15176-2023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45016</v>
      </c>
      <c r="E626" s="1" t="n">
        <v>46292</v>
      </c>
      <c r="F626" t="inlineStr">
        <is>
          <t>VÄSTRA GÖTALANDS LÄN</t>
        </is>
      </c>
      <c r="G626" t="inlineStr">
        <is>
          <t>MARK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45342</v>
      </c>
      <c r="E627" s="1" t="n">
        <v>46292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36287-2022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44803</v>
      </c>
      <c r="E628" s="1" t="n">
        <v>46292</v>
      </c>
      <c r="F628" t="inlineStr">
        <is>
          <t>VÄSTRA GÖTALANDS LÄN</t>
        </is>
      </c>
      <c r="G628" t="inlineStr">
        <is>
          <t>MARK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46292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46292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46292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46292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46292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46292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46292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46292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46292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46292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46292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46292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45474</v>
      </c>
      <c r="E641" s="1" t="n">
        <v>46292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Kommuner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51446-2024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45604</v>
      </c>
      <c r="E642" s="1" t="n">
        <v>46292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11663-2022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44632</v>
      </c>
      <c r="E643" s="1" t="n">
        <v>46292</v>
      </c>
      <c r="F643" t="inlineStr">
        <is>
          <t>VÄSTRA GÖTALANDS LÄN</t>
        </is>
      </c>
      <c r="G643" t="inlineStr">
        <is>
          <t>MARK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44994</v>
      </c>
      <c r="E644" s="1" t="n">
        <v>46292</v>
      </c>
      <c r="F644" t="inlineStr">
        <is>
          <t>VÄSTRA GÖTALANDS LÄN</t>
        </is>
      </c>
      <c r="G644" t="inlineStr">
        <is>
          <t>MARK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45030</v>
      </c>
      <c r="E645" s="1" t="n">
        <v>46292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Sveaskog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44579</v>
      </c>
      <c r="E646" s="1" t="n">
        <v>46292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Kommuner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45219</v>
      </c>
      <c r="E647" s="1" t="n">
        <v>46292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37737-2022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46292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46292</v>
      </c>
      <c r="F649" t="inlineStr">
        <is>
          <t>VÄSTRA GÖTALANDS LÄN</t>
        </is>
      </c>
      <c r="G649" t="inlineStr">
        <is>
          <t>MARK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45359</v>
      </c>
      <c r="E650" s="1" t="n">
        <v>46292</v>
      </c>
      <c r="F650" t="inlineStr">
        <is>
          <t>VÄSTRA GÖTALANDS LÄN</t>
        </is>
      </c>
      <c r="G650" t="inlineStr">
        <is>
          <t>MARK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45359</v>
      </c>
      <c r="E651" s="1" t="n">
        <v>46292</v>
      </c>
      <c r="F651" t="inlineStr">
        <is>
          <t>VÄSTRA GÖTALANDS LÄN</t>
        </is>
      </c>
      <c r="G651" t="inlineStr">
        <is>
          <t>MARK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44982</v>
      </c>
      <c r="E652" s="1" t="n">
        <v>46292</v>
      </c>
      <c r="F652" t="inlineStr">
        <is>
          <t>VÄSTRA GÖTALANDS LÄN</t>
        </is>
      </c>
      <c r="G652" t="inlineStr">
        <is>
          <t>MARK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46292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23634-2023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46292</v>
      </c>
      <c r="F654" t="inlineStr">
        <is>
          <t>VÄSTRA GÖTALANDS LÄN</t>
        </is>
      </c>
      <c r="G654" t="inlineStr">
        <is>
          <t>MARK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12330-2024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45378</v>
      </c>
      <c r="E655" s="1" t="n">
        <v>46292</v>
      </c>
      <c r="F655" t="inlineStr">
        <is>
          <t>VÄSTRA GÖTALANDS LÄN</t>
        </is>
      </c>
      <c r="G655" t="inlineStr">
        <is>
          <t>MARK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45332</v>
      </c>
      <c r="E656" s="1" t="n">
        <v>46292</v>
      </c>
      <c r="F656" t="inlineStr">
        <is>
          <t>VÄSTRA GÖTALANDS LÄN</t>
        </is>
      </c>
      <c r="G656" t="inlineStr">
        <is>
          <t>MARK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45343</v>
      </c>
      <c r="E657" s="1" t="n">
        <v>46292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46292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45490</v>
      </c>
      <c r="E659" s="1" t="n">
        <v>46292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45358</v>
      </c>
      <c r="E660" s="1" t="n">
        <v>46292</v>
      </c>
      <c r="F660" t="inlineStr">
        <is>
          <t>VÄSTRA GÖTALANDS LÄN</t>
        </is>
      </c>
      <c r="G660" t="inlineStr">
        <is>
          <t>MARK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46292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46292</v>
      </c>
      <c r="F662" t="inlineStr">
        <is>
          <t>VÄSTRA GÖTALANDS LÄN</t>
        </is>
      </c>
      <c r="G662" t="inlineStr">
        <is>
          <t>MARK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45301</v>
      </c>
      <c r="E663" s="1" t="n">
        <v>46292</v>
      </c>
      <c r="F663" t="inlineStr">
        <is>
          <t>VÄSTRA GÖTALANDS LÄN</t>
        </is>
      </c>
      <c r="G663" t="inlineStr">
        <is>
          <t>MARK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45779</v>
      </c>
      <c r="E664" s="1" t="n">
        <v>46292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21854-2025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46292</v>
      </c>
      <c r="F665" t="inlineStr">
        <is>
          <t>VÄSTRA GÖTALANDS LÄN</t>
        </is>
      </c>
      <c r="G665" t="inlineStr">
        <is>
          <t>MARK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46292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46292</v>
      </c>
      <c r="F667" t="inlineStr">
        <is>
          <t>VÄSTRA GÖTALANDS LÄN</t>
        </is>
      </c>
      <c r="G667" t="inlineStr">
        <is>
          <t>MARK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21906-2024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46292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Kyrkan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44586</v>
      </c>
      <c r="E669" s="1" t="n">
        <v>46292</v>
      </c>
      <c r="F669" t="inlineStr">
        <is>
          <t>VÄSTRA GÖTALANDS LÄN</t>
        </is>
      </c>
      <c r="G669" t="inlineStr">
        <is>
          <t>MARK</t>
        </is>
      </c>
      <c r="I669" t="n">
        <v>12.1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45672</v>
      </c>
      <c r="E670" s="1" t="n">
        <v>46292</v>
      </c>
      <c r="F670" t="inlineStr">
        <is>
          <t>VÄSTRA GÖTALANDS LÄN</t>
        </is>
      </c>
      <c r="G670" t="inlineStr">
        <is>
          <t>MARK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45713</v>
      </c>
      <c r="E671" s="1" t="n">
        <v>46292</v>
      </c>
      <c r="F671" t="inlineStr">
        <is>
          <t>VÄSTRA GÖTALANDS LÄN</t>
        </is>
      </c>
      <c r="G671" t="inlineStr">
        <is>
          <t>MARK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46292</v>
      </c>
      <c r="F672" t="inlineStr">
        <is>
          <t>VÄSTRA GÖTALANDS LÄN</t>
        </is>
      </c>
      <c r="G672" t="inlineStr">
        <is>
          <t>MARK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45434</v>
      </c>
      <c r="E673" s="1" t="n">
        <v>46292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45724</v>
      </c>
      <c r="E674" s="1" t="n">
        <v>46292</v>
      </c>
      <c r="F674" t="inlineStr">
        <is>
          <t>VÄSTRA GÖTALANDS LÄN</t>
        </is>
      </c>
      <c r="G674" t="inlineStr">
        <is>
          <t>MARK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46292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23486-2025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45792</v>
      </c>
      <c r="E676" s="1" t="n">
        <v>46292</v>
      </c>
      <c r="F676" t="inlineStr">
        <is>
          <t>VÄSTRA GÖTALANDS LÄN</t>
        </is>
      </c>
      <c r="G676" t="inlineStr">
        <is>
          <t>MARK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46292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46292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2896-2022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44711</v>
      </c>
      <c r="E679" s="1" t="n">
        <v>46292</v>
      </c>
      <c r="F679" t="inlineStr">
        <is>
          <t>VÄSTRA GÖTALANDS LÄN</t>
        </is>
      </c>
      <c r="G679" t="inlineStr">
        <is>
          <t>MARK</t>
        </is>
      </c>
      <c r="I679" t="n">
        <v>30.7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7392-2021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44470</v>
      </c>
      <c r="E680" s="1" t="n">
        <v>46292</v>
      </c>
      <c r="F680" t="inlineStr">
        <is>
          <t>VÄSTRA GÖTALANDS LÄN</t>
        </is>
      </c>
      <c r="G680" t="inlineStr">
        <is>
          <t>MARK</t>
        </is>
      </c>
      <c r="I680" t="n">
        <v>69.5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46292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46292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46292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46292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46292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46292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46292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46292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46292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46292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46292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46292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46292</v>
      </c>
      <c r="F693" t="inlineStr">
        <is>
          <t>VÄSTRA GÖTALANDS LÄN</t>
        </is>
      </c>
      <c r="G693" t="inlineStr">
        <is>
          <t>MARK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2026-09-27T01:59:57Z</dcterms:created>
  <dcterms:modified xmlns:dcterms="http://purl.org/dc/terms/" xmlns:xsi="http://www.w3.org/2001/XMLSchema-instance" xsi:type="dcterms:W3CDTF">2026-09-27T01:59:58Z</dcterms:modified>
</cp:coreProperties>
</file>