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46300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46300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46300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62079-2025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46300</v>
      </c>
      <c r="F10" t="inlineStr">
        <is>
          <t>VÄSTRA GÖTALANDS LÄN</t>
        </is>
      </c>
      <c r="G10" t="inlineStr">
        <is>
          <t>MARK</t>
        </is>
      </c>
      <c r="I10" t="n">
        <v>9.800000000000001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Ål
Öring</t>
        </is>
      </c>
      <c r="W10">
        <f>HYPERLINK("https://klasma.github.io/Logging_1463/artfynd/A 62079-2025 artfynd.xlsx", "A 62079-2025")</f>
        <v/>
      </c>
      <c r="X10">
        <f>HYPERLINK("https://klasma.github.io/Logging_1463/kartor/A 62079-2025 karta.png", "A 62079-2025")</f>
        <v/>
      </c>
      <c r="Y10">
        <f>HYPERLINK("https://klasma.github.io/Logging_1463/kartor_geotiff/A 62079-2025 georefererad karta.tif", "A 62079-2025")</f>
        <v/>
      </c>
      <c r="AA10">
        <f>HYPERLINK("https://klasma.github.io/Logging_1463/klagomål/A 62079-2025 FSC-klagomål.docx", "A 62079-2025")</f>
        <v/>
      </c>
      <c r="AB10">
        <f>HYPERLINK("https://klasma.github.io/Logging_1463/klagomålsmail/A 62079-2025 FSC-klagomål mail.docx", "A 62079-2025")</f>
        <v/>
      </c>
      <c r="AC10">
        <f>HYPERLINK("https://klasma.github.io/Logging_1463/tillsyn/A 62079-2025 tillsynsbegäran.docx", "A 62079-2025")</f>
        <v/>
      </c>
      <c r="AD10">
        <f>HYPERLINK("https://klasma.github.io/Logging_1463/tillsynsmail/A 62079-2025 tillsynsbegäran mail.docx", "A 62079-2025")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46300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46300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46300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46300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46300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46300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46300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46300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46300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46300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46300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46300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46300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363-2026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46027</v>
      </c>
      <c r="E24" s="1" t="n">
        <v>46300</v>
      </c>
      <c r="F24" t="inlineStr">
        <is>
          <t>VÄSTRA GÖTALANDS LÄN</t>
        </is>
      </c>
      <c r="G24" t="inlineStr">
        <is>
          <t>MARK</t>
        </is>
      </c>
      <c r="I24" t="n">
        <v>9.800000000000001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Öring</t>
        </is>
      </c>
      <c r="W24">
        <f>HYPERLINK("https://klasma.github.io/Logging_1463/artfynd/A 363-2026 artfynd.xlsx", "A 363-2026")</f>
        <v/>
      </c>
      <c r="X24">
        <f>HYPERLINK("https://klasma.github.io/Logging_1463/kartor/A 363-2026 karta.png", "A 363-2026")</f>
        <v/>
      </c>
      <c r="Y24">
        <f>HYPERLINK("https://klasma.github.io/Logging_1463/kartor_geotiff/A 363-2026 georefererad karta.tif", "A 363-2026")</f>
        <v/>
      </c>
      <c r="AA24">
        <f>HYPERLINK("https://klasma.github.io/Logging_1463/klagomål/A 363-2026 FSC-klagomål.docx", "A 363-2026")</f>
        <v/>
      </c>
      <c r="AB24">
        <f>HYPERLINK("https://klasma.github.io/Logging_1463/klagomålsmail/A 363-2026 FSC-klagomål mail.docx", "A 363-2026")</f>
        <v/>
      </c>
      <c r="AC24">
        <f>HYPERLINK("https://klasma.github.io/Logging_1463/tillsyn/A 363-2026 tillsynsbegäran.docx", "A 363-2026")</f>
        <v/>
      </c>
      <c r="AD24">
        <f>HYPERLINK("https://klasma.github.io/Logging_1463/tillsynsmail/A 363-2026 tillsynsbegäran mail.docx", "A 363-2026")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46300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46300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46300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46300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46300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46300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46300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46300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46300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46300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46300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46300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4304-2024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46300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HYPERLINK("https://klasma.github.io/Logging_1463/artfynd/A 4304-2024 artfynd.xlsx", "A 4304-2024")</f>
        <v/>
      </c>
      <c r="X37">
        <f>HYPERLINK("https://klasma.github.io/Logging_1463/kartor/A 4304-2024 karta.png", "A 4304-2024")</f>
        <v/>
      </c>
      <c r="Y37">
        <f>HYPERLINK("https://klasma.github.io/Logging_1463/kartor_geotiff/A 4304-2024 georefererad karta.tif", "A 4304-2024")</f>
        <v/>
      </c>
      <c r="AA37">
        <f>HYPERLINK("https://klasma.github.io/Logging_1463/klagomål/A 4304-2024 FSC-klagomål.docx", "A 4304-2024")</f>
        <v/>
      </c>
      <c r="AB37">
        <f>HYPERLINK("https://klasma.github.io/Logging_1463/klagomålsmail/A 4304-2024 FSC-klagomål mail.docx", "A 4304-2024")</f>
        <v/>
      </c>
      <c r="AC37">
        <f>HYPERLINK("https://klasma.github.io/Logging_1463/tillsyn/A 4304-2024 tillsynsbegäran.docx", "A 4304-2024")</f>
        <v/>
      </c>
      <c r="AD37">
        <f>HYPERLINK("https://klasma.github.io/Logging_1463/tillsynsmail/A 4304-2024 tillsynsbegäran mail.docx", "A 4304-2024")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46300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46300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46300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48759-2025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46300</v>
      </c>
      <c r="F41" t="inlineStr">
        <is>
          <t>VÄSTRA GÖTALANDS LÄN</t>
        </is>
      </c>
      <c r="G41" t="inlineStr">
        <is>
          <t>MARK</t>
        </is>
      </c>
      <c r="I41" t="n">
        <v>1.7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HYPERLINK("https://klasma.github.io/Logging_1463/artfynd/A 48759-2025 artfynd.xlsx", "A 48759-2025")</f>
        <v/>
      </c>
      <c r="X41">
        <f>HYPERLINK("https://klasma.github.io/Logging_1463/kartor/A 48759-2025 karta.png", "A 48759-2025")</f>
        <v/>
      </c>
      <c r="Y41">
        <f>HYPERLINK("https://klasma.github.io/Logging_1463/kartor_geotiff/A 48759-2025 georefererad karta.tif", "A 48759-2025")</f>
        <v/>
      </c>
      <c r="AA41">
        <f>HYPERLINK("https://klasma.github.io/Logging_1463/klagomål/A 48759-2025 FSC-klagomål.docx", "A 48759-2025")</f>
        <v/>
      </c>
      <c r="AB41">
        <f>HYPERLINK("https://klasma.github.io/Logging_1463/klagomålsmail/A 48759-2025 FSC-klagomål mail.docx", "A 48759-2025")</f>
        <v/>
      </c>
      <c r="AC41">
        <f>HYPERLINK("https://klasma.github.io/Logging_1463/tillsyn/A 48759-2025 tillsynsbegäran.docx", "A 48759-2025")</f>
        <v/>
      </c>
      <c r="AD41">
        <f>HYPERLINK("https://klasma.github.io/Logging_1463/tillsynsmail/A 48759-2025 tillsynsbegäran mail.docx", "A 48759-2025")</f>
        <v/>
      </c>
      <c r="AE41">
        <f>HYPERLINK("https://klasma.github.io/Logging_1463/fåglar/A 48759-2025 prioriterade fågelarter.docx", "A 48759-2025")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46300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49725-2024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46300</v>
      </c>
      <c r="F43" t="inlineStr">
        <is>
          <t>VÄSTRA GÖTALANDS LÄN</t>
        </is>
      </c>
      <c r="G43" t="inlineStr">
        <is>
          <t>MARK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HYPERLINK("https://klasma.github.io/Logging_1463/artfynd/A 49725-2024 artfynd.xlsx", "A 49725-2024")</f>
        <v/>
      </c>
      <c r="X43">
        <f>HYPERLINK("https://klasma.github.io/Logging_1463/kartor/A 49725-2024 karta.png", "A 49725-2024")</f>
        <v/>
      </c>
      <c r="Y43">
        <f>HYPERLINK("https://klasma.github.io/Logging_1463/kartor_geotiff/A 49725-2024 georefererad karta.tif", "A 49725-2024")</f>
        <v/>
      </c>
      <c r="AA43">
        <f>HYPERLINK("https://klasma.github.io/Logging_1463/klagomål/A 49725-2024 FSC-klagomål.docx", "A 49725-2024")</f>
        <v/>
      </c>
      <c r="AB43">
        <f>HYPERLINK("https://klasma.github.io/Logging_1463/klagomålsmail/A 49725-2024 FSC-klagomål mail.docx", "A 49725-2024")</f>
        <v/>
      </c>
      <c r="AC43">
        <f>HYPERLINK("https://klasma.github.io/Logging_1463/tillsyn/A 49725-2024 tillsynsbegäran.docx", "A 49725-2024")</f>
        <v/>
      </c>
      <c r="AD43">
        <f>HYPERLINK("https://klasma.github.io/Logging_1463/tillsynsmail/A 49725-2024 tillsynsbegäran mail.docx", "A 49725-2024")</f>
        <v/>
      </c>
    </row>
    <row r="44" ht="15" customHeight="1">
      <c r="A44" t="inlineStr">
        <is>
          <t>A 16277-2025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46300</v>
      </c>
      <c r="F44" t="inlineStr">
        <is>
          <t>VÄSTRA GÖTALANDS LÄN</t>
        </is>
      </c>
      <c r="G44" t="inlineStr">
        <is>
          <t>MARK</t>
        </is>
      </c>
      <c r="H44" t="inlineStr">
        <is>
          <t>Sveaskog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revmossa</t>
        </is>
      </c>
      <c r="W44">
        <f>HYPERLINK("https://klasma.github.io/Logging_1463/artfynd/A 16277-2025 artfynd.xlsx", "A 16277-2025")</f>
        <v/>
      </c>
      <c r="X44">
        <f>HYPERLINK("https://klasma.github.io/Logging_1463/kartor/A 16277-2025 karta.png", "A 16277-2025")</f>
        <v/>
      </c>
      <c r="Y44">
        <f>HYPERLINK("https://klasma.github.io/Logging_1463/kartor_geotiff/A 16277-2025 georefererad karta.tif", "A 16277-2025")</f>
        <v/>
      </c>
      <c r="AA44">
        <f>HYPERLINK("https://klasma.github.io/Logging_1463/klagomål/A 16277-2025 FSC-klagomål.docx", "A 16277-2025")</f>
        <v/>
      </c>
      <c r="AB44">
        <f>HYPERLINK("https://klasma.github.io/Logging_1463/klagomålsmail/A 16277-2025 FSC-klagomål mail.docx", "A 16277-2025")</f>
        <v/>
      </c>
      <c r="AC44">
        <f>HYPERLINK("https://klasma.github.io/Logging_1463/tillsyn/A 16277-2025 tillsynsbegäran.docx", "A 16277-2025")</f>
        <v/>
      </c>
      <c r="AD44">
        <f>HYPERLINK("https://klasma.github.io/Logging_1463/tillsynsmail/A 16277-2025 tillsynsbegäran mail.docx", "A 16277-2025")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46300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46300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46300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46300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46300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46300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46300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46300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46300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46300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46300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46300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44720</v>
      </c>
      <c r="E57" s="1" t="n">
        <v>46300</v>
      </c>
      <c r="F57" t="inlineStr">
        <is>
          <t>VÄSTRA GÖTALANDS LÄN</t>
        </is>
      </c>
      <c r="G57" t="inlineStr">
        <is>
          <t>MARK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44696</v>
      </c>
      <c r="E58" s="1" t="n">
        <v>46300</v>
      </c>
      <c r="F58" t="inlineStr">
        <is>
          <t>VÄSTRA GÖTALANDS LÄN</t>
        </is>
      </c>
      <c r="G58" t="inlineStr">
        <is>
          <t>MARK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46300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44607</v>
      </c>
      <c r="E60" s="1" t="n">
        <v>46300</v>
      </c>
      <c r="F60" t="inlineStr">
        <is>
          <t>VÄSTRA GÖTALANDS LÄN</t>
        </is>
      </c>
      <c r="G60" t="inlineStr">
        <is>
          <t>MARK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46300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44714</v>
      </c>
      <c r="E62" s="1" t="n">
        <v>46300</v>
      </c>
      <c r="F62" t="inlineStr">
        <is>
          <t>VÄSTRA GÖTALANDS LÄN</t>
        </is>
      </c>
      <c r="G62" t="inlineStr">
        <is>
          <t>MARK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46300</v>
      </c>
      <c r="F63" t="inlineStr">
        <is>
          <t>VÄSTRA GÖTALANDS LÄN</t>
        </is>
      </c>
      <c r="G63" t="inlineStr">
        <is>
          <t>MARK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46300</v>
      </c>
      <c r="F64" t="inlineStr">
        <is>
          <t>VÄSTRA GÖTALANDS LÄN</t>
        </is>
      </c>
      <c r="G64" t="inlineStr">
        <is>
          <t>MARK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46300</v>
      </c>
      <c r="F65" t="inlineStr">
        <is>
          <t>VÄSTRA GÖTALANDS LÄN</t>
        </is>
      </c>
      <c r="G65" t="inlineStr">
        <is>
          <t>MARK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46300</v>
      </c>
      <c r="F66" t="inlineStr">
        <is>
          <t>VÄSTRA GÖTALANDS LÄN</t>
        </is>
      </c>
      <c r="G66" t="inlineStr">
        <is>
          <t>MARK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46300</v>
      </c>
      <c r="F67" t="inlineStr">
        <is>
          <t>VÄSTRA GÖTALANDS LÄN</t>
        </is>
      </c>
      <c r="G67" t="inlineStr">
        <is>
          <t>MARK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46300</v>
      </c>
      <c r="F68" t="inlineStr">
        <is>
          <t>VÄSTRA GÖTALANDS LÄN</t>
        </is>
      </c>
      <c r="G68" t="inlineStr">
        <is>
          <t>MARK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46300</v>
      </c>
      <c r="F69" t="inlineStr">
        <is>
          <t>VÄSTRA GÖTALANDS LÄN</t>
        </is>
      </c>
      <c r="G69" t="inlineStr">
        <is>
          <t>MARK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46300</v>
      </c>
      <c r="F70" t="inlineStr">
        <is>
          <t>VÄSTRA GÖTALANDS LÄN</t>
        </is>
      </c>
      <c r="G70" t="inlineStr">
        <is>
          <t>MARK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46300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44696</v>
      </c>
      <c r="E72" s="1" t="n">
        <v>46300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46300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46300</v>
      </c>
      <c r="F74" t="inlineStr">
        <is>
          <t>VÄSTRA GÖTALANDS LÄN</t>
        </is>
      </c>
      <c r="G74" t="inlineStr">
        <is>
          <t>MARK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46300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46300</v>
      </c>
      <c r="F76" t="inlineStr">
        <is>
          <t>VÄSTRA GÖTALANDS LÄN</t>
        </is>
      </c>
      <c r="G76" t="inlineStr">
        <is>
          <t>MARK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46300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46300</v>
      </c>
      <c r="F78" t="inlineStr">
        <is>
          <t>VÄSTRA GÖTALANDS LÄN</t>
        </is>
      </c>
      <c r="G78" t="inlineStr">
        <is>
          <t>MARK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44840</v>
      </c>
      <c r="E79" s="1" t="n">
        <v>46300</v>
      </c>
      <c r="F79" t="inlineStr">
        <is>
          <t>VÄSTRA GÖTALANDS LÄN</t>
        </is>
      </c>
      <c r="G79" t="inlineStr">
        <is>
          <t>MARK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46300</v>
      </c>
      <c r="F80" t="inlineStr">
        <is>
          <t>VÄSTRA GÖTALANDS LÄN</t>
        </is>
      </c>
      <c r="G80" t="inlineStr">
        <is>
          <t>MARK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70090-2021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44533</v>
      </c>
      <c r="E81" s="1" t="n">
        <v>46300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46300</v>
      </c>
      <c r="F82" t="inlineStr">
        <is>
          <t>VÄSTRA GÖTALANDS LÄN</t>
        </is>
      </c>
      <c r="G82" t="inlineStr">
        <is>
          <t>MARK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46300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44699</v>
      </c>
      <c r="E84" s="1" t="n">
        <v>46300</v>
      </c>
      <c r="F84" t="inlineStr">
        <is>
          <t>VÄSTRA GÖTALANDS LÄN</t>
        </is>
      </c>
      <c r="G84" t="inlineStr">
        <is>
          <t>MARK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46300</v>
      </c>
      <c r="F85" t="inlineStr">
        <is>
          <t>VÄSTRA GÖTALANDS LÄN</t>
        </is>
      </c>
      <c r="G85" t="inlineStr">
        <is>
          <t>MARK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59618-2021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46300</v>
      </c>
      <c r="F86" t="inlineStr">
        <is>
          <t>VÄSTRA GÖTALANDS LÄN</t>
        </is>
      </c>
      <c r="G86" t="inlineStr">
        <is>
          <t>MARK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46300</v>
      </c>
      <c r="F87" t="inlineStr">
        <is>
          <t>VÄSTRA GÖTALANDS LÄN</t>
        </is>
      </c>
      <c r="G87" t="inlineStr">
        <is>
          <t>MARK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46300</v>
      </c>
      <c r="F88" t="inlineStr">
        <is>
          <t>VÄSTRA GÖTALANDS LÄN</t>
        </is>
      </c>
      <c r="G88" t="inlineStr">
        <is>
          <t>MARK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46300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46300</v>
      </c>
      <c r="F90" t="inlineStr">
        <is>
          <t>VÄSTRA GÖTALANDS LÄN</t>
        </is>
      </c>
      <c r="G90" t="inlineStr">
        <is>
          <t>MARK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46300</v>
      </c>
      <c r="F91" t="inlineStr">
        <is>
          <t>VÄSTRA GÖTALANDS LÄN</t>
        </is>
      </c>
      <c r="G91" t="inlineStr">
        <is>
          <t>MARK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46300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10166-2022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44622</v>
      </c>
      <c r="E93" s="1" t="n">
        <v>46300</v>
      </c>
      <c r="F93" t="inlineStr">
        <is>
          <t>VÄSTRA GÖTALANDS LÄN</t>
        </is>
      </c>
      <c r="G93" t="inlineStr">
        <is>
          <t>MARK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44725</v>
      </c>
      <c r="E94" s="1" t="n">
        <v>46300</v>
      </c>
      <c r="F94" t="inlineStr">
        <is>
          <t>VÄSTRA GÖTALANDS LÄN</t>
        </is>
      </c>
      <c r="G94" t="inlineStr">
        <is>
          <t>MARK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46300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46300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44982</v>
      </c>
      <c r="E97" s="1" t="n">
        <v>46300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46300</v>
      </c>
      <c r="F98" t="inlineStr">
        <is>
          <t>VÄSTRA GÖTALANDS LÄN</t>
        </is>
      </c>
      <c r="G98" t="inlineStr">
        <is>
          <t>MARK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46300</v>
      </c>
      <c r="F99" t="inlineStr">
        <is>
          <t>VÄSTRA GÖTALANDS LÄN</t>
        </is>
      </c>
      <c r="G99" t="inlineStr">
        <is>
          <t>MARK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46300</v>
      </c>
      <c r="F100" t="inlineStr">
        <is>
          <t>VÄSTRA GÖTALANDS LÄN</t>
        </is>
      </c>
      <c r="G100" t="inlineStr">
        <is>
          <t>MARK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45359</v>
      </c>
      <c r="E101" s="1" t="n">
        <v>46300</v>
      </c>
      <c r="F101" t="inlineStr">
        <is>
          <t>VÄSTRA GÖTALANDS LÄN</t>
        </is>
      </c>
      <c r="G101" t="inlineStr">
        <is>
          <t>MARK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45568</v>
      </c>
      <c r="E102" s="1" t="n">
        <v>46300</v>
      </c>
      <c r="F102" t="inlineStr">
        <is>
          <t>VÄSTRA GÖTALANDS LÄN</t>
        </is>
      </c>
      <c r="G102" t="inlineStr">
        <is>
          <t>MARK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11575-2022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44631</v>
      </c>
      <c r="E103" s="1" t="n">
        <v>46300</v>
      </c>
      <c r="F103" t="inlineStr">
        <is>
          <t>VÄSTRA GÖTALANDS LÄN</t>
        </is>
      </c>
      <c r="G103" t="inlineStr">
        <is>
          <t>MARK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45030</v>
      </c>
      <c r="E104" s="1" t="n">
        <v>46300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11414-2022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44630</v>
      </c>
      <c r="E105" s="1" t="n">
        <v>46300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46300</v>
      </c>
      <c r="F106" t="inlineStr">
        <is>
          <t>VÄSTRA GÖTALANDS LÄN</t>
        </is>
      </c>
      <c r="G106" t="inlineStr">
        <is>
          <t>MARK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46300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46300</v>
      </c>
      <c r="F108" t="inlineStr">
        <is>
          <t>VÄSTRA GÖTALANDS LÄN</t>
        </is>
      </c>
      <c r="G108" t="inlineStr">
        <is>
          <t>MARK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45681</v>
      </c>
      <c r="E109" s="1" t="n">
        <v>46300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46300</v>
      </c>
      <c r="F110" t="inlineStr">
        <is>
          <t>VÄSTRA GÖTALANDS LÄN</t>
        </is>
      </c>
      <c r="G110" t="inlineStr">
        <is>
          <t>MARK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44632</v>
      </c>
      <c r="E111" s="1" t="n">
        <v>46300</v>
      </c>
      <c r="F111" t="inlineStr">
        <is>
          <t>VÄSTRA GÖTALANDS LÄN</t>
        </is>
      </c>
      <c r="G111" t="inlineStr">
        <is>
          <t>MARK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46300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46300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44715</v>
      </c>
      <c r="E114" s="1" t="n">
        <v>46300</v>
      </c>
      <c r="F114" t="inlineStr">
        <is>
          <t>VÄSTRA GÖTALANDS LÄN</t>
        </is>
      </c>
      <c r="G114" t="inlineStr">
        <is>
          <t>MARK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46300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44599</v>
      </c>
      <c r="E116" s="1" t="n">
        <v>46300</v>
      </c>
      <c r="F116" t="inlineStr">
        <is>
          <t>VÄSTRA GÖTALANDS LÄN</t>
        </is>
      </c>
      <c r="G116" t="inlineStr">
        <is>
          <t>MARK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45745</v>
      </c>
      <c r="E117" s="1" t="n">
        <v>46300</v>
      </c>
      <c r="F117" t="inlineStr">
        <is>
          <t>VÄSTRA GÖTALANDS LÄN</t>
        </is>
      </c>
      <c r="G117" t="inlineStr">
        <is>
          <t>MARK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46300</v>
      </c>
      <c r="F118" t="inlineStr">
        <is>
          <t>VÄSTRA GÖTALANDS LÄN</t>
        </is>
      </c>
      <c r="G118" t="inlineStr">
        <is>
          <t>MARK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46300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46300</v>
      </c>
      <c r="F120" t="inlineStr">
        <is>
          <t>VÄSTRA GÖTALANDS LÄN</t>
        </is>
      </c>
      <c r="G120" t="inlineStr">
        <is>
          <t>MARK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46300</v>
      </c>
      <c r="F121" t="inlineStr">
        <is>
          <t>VÄSTRA GÖTALANDS LÄN</t>
        </is>
      </c>
      <c r="G121" t="inlineStr">
        <is>
          <t>MARK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46300</v>
      </c>
      <c r="F122" t="inlineStr">
        <is>
          <t>VÄSTRA GÖTALANDS LÄN</t>
        </is>
      </c>
      <c r="G122" t="inlineStr">
        <is>
          <t>MARK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46300</v>
      </c>
      <c r="F123" t="inlineStr">
        <is>
          <t>VÄSTRA GÖTALANDS LÄN</t>
        </is>
      </c>
      <c r="G123" t="inlineStr">
        <is>
          <t>MARK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45294</v>
      </c>
      <c r="E124" s="1" t="n">
        <v>46300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46300</v>
      </c>
      <c r="F125" t="inlineStr">
        <is>
          <t>VÄSTRA GÖTALANDS LÄN</t>
        </is>
      </c>
      <c r="G125" t="inlineStr">
        <is>
          <t>MARK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46300</v>
      </c>
      <c r="F126" t="inlineStr">
        <is>
          <t>VÄSTRA GÖTALANDS LÄN</t>
        </is>
      </c>
      <c r="G126" t="inlineStr">
        <is>
          <t>MARK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46300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45376</v>
      </c>
      <c r="E128" s="1" t="n">
        <v>46300</v>
      </c>
      <c r="F128" t="inlineStr">
        <is>
          <t>VÄSTRA GÖTALANDS LÄN</t>
        </is>
      </c>
      <c r="G128" t="inlineStr">
        <is>
          <t>MARK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62404-2025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46007</v>
      </c>
      <c r="E129" s="1" t="n">
        <v>46300</v>
      </c>
      <c r="F129" t="inlineStr">
        <is>
          <t>VÄSTRA GÖTALANDS LÄN</t>
        </is>
      </c>
      <c r="G129" t="inlineStr">
        <is>
          <t>MARK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46300</v>
      </c>
      <c r="F130" t="inlineStr">
        <is>
          <t>VÄSTRA GÖTALANDS LÄN</t>
        </is>
      </c>
      <c r="G130" t="inlineStr">
        <is>
          <t>MARK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46300</v>
      </c>
      <c r="F131" t="inlineStr">
        <is>
          <t>VÄSTRA GÖTALANDS LÄN</t>
        </is>
      </c>
      <c r="G131" t="inlineStr">
        <is>
          <t>MARK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46300</v>
      </c>
      <c r="F132" t="inlineStr">
        <is>
          <t>VÄSTRA GÖTALANDS LÄN</t>
        </is>
      </c>
      <c r="G132" t="inlineStr">
        <is>
          <t>MARK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46300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46300</v>
      </c>
      <c r="F134" t="inlineStr">
        <is>
          <t>VÄSTRA GÖTALANDS LÄN</t>
        </is>
      </c>
      <c r="G134" t="inlineStr">
        <is>
          <t>MARK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46300</v>
      </c>
      <c r="F135" t="inlineStr">
        <is>
          <t>VÄSTRA GÖTALANDS LÄN</t>
        </is>
      </c>
      <c r="G135" t="inlineStr">
        <is>
          <t>MARK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45059</v>
      </c>
      <c r="E136" s="1" t="n">
        <v>46300</v>
      </c>
      <c r="F136" t="inlineStr">
        <is>
          <t>VÄSTRA GÖTALANDS LÄN</t>
        </is>
      </c>
      <c r="G136" t="inlineStr">
        <is>
          <t>MARK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46300</v>
      </c>
      <c r="F137" t="inlineStr">
        <is>
          <t>VÄSTRA GÖTALANDS LÄN</t>
        </is>
      </c>
      <c r="G137" t="inlineStr">
        <is>
          <t>MARK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45724</v>
      </c>
      <c r="E138" s="1" t="n">
        <v>46300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46300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45137</v>
      </c>
      <c r="E140" s="1" t="n">
        <v>46300</v>
      </c>
      <c r="F140" t="inlineStr">
        <is>
          <t>VÄSTRA GÖTALANDS LÄN</t>
        </is>
      </c>
      <c r="G140" t="inlineStr">
        <is>
          <t>MARK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46300</v>
      </c>
      <c r="F141" t="inlineStr">
        <is>
          <t>VÄSTRA GÖTALANDS LÄN</t>
        </is>
      </c>
      <c r="G141" t="inlineStr">
        <is>
          <t>MARK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46300</v>
      </c>
      <c r="F142" t="inlineStr">
        <is>
          <t>VÄSTRA GÖTALANDS LÄN</t>
        </is>
      </c>
      <c r="G142" t="inlineStr">
        <is>
          <t>MARK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46300</v>
      </c>
      <c r="F143" t="inlineStr">
        <is>
          <t>VÄSTRA GÖTALANDS LÄN</t>
        </is>
      </c>
      <c r="G143" t="inlineStr">
        <is>
          <t>MARK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46300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46300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46300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46300</v>
      </c>
      <c r="F147" t="inlineStr">
        <is>
          <t>VÄSTRA GÖTALANDS LÄN</t>
        </is>
      </c>
      <c r="G147" t="inlineStr">
        <is>
          <t>MARK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46300</v>
      </c>
      <c r="F148" t="inlineStr">
        <is>
          <t>VÄSTRA GÖTALANDS LÄN</t>
        </is>
      </c>
      <c r="G148" t="inlineStr">
        <is>
          <t>MARK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46300</v>
      </c>
      <c r="F149" t="inlineStr">
        <is>
          <t>VÄSTRA GÖTALANDS LÄN</t>
        </is>
      </c>
      <c r="G149" t="inlineStr">
        <is>
          <t>MARK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46300</v>
      </c>
      <c r="F150" t="inlineStr">
        <is>
          <t>VÄSTRA GÖTALANDS LÄN</t>
        </is>
      </c>
      <c r="G150" t="inlineStr">
        <is>
          <t>MARK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46300</v>
      </c>
      <c r="F151" t="inlineStr">
        <is>
          <t>VÄSTRA GÖTALANDS LÄN</t>
        </is>
      </c>
      <c r="G151" t="inlineStr">
        <is>
          <t>MARK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46300</v>
      </c>
      <c r="F152" t="inlineStr">
        <is>
          <t>VÄSTRA GÖTALANDS LÄN</t>
        </is>
      </c>
      <c r="G152" t="inlineStr">
        <is>
          <t>MARK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46300</v>
      </c>
      <c r="F153" t="inlineStr">
        <is>
          <t>VÄSTRA GÖTALANDS LÄN</t>
        </is>
      </c>
      <c r="G153" t="inlineStr">
        <is>
          <t>MARK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46300</v>
      </c>
      <c r="F154" t="inlineStr">
        <is>
          <t>VÄSTRA GÖTALANDS LÄN</t>
        </is>
      </c>
      <c r="G154" t="inlineStr">
        <is>
          <t>MARK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46300</v>
      </c>
      <c r="F155" t="inlineStr">
        <is>
          <t>VÄSTRA GÖTALANDS LÄN</t>
        </is>
      </c>
      <c r="G155" t="inlineStr">
        <is>
          <t>MARK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46300</v>
      </c>
      <c r="F156" t="inlineStr">
        <is>
          <t>VÄSTRA GÖTALANDS LÄN</t>
        </is>
      </c>
      <c r="G156" t="inlineStr">
        <is>
          <t>MARK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46300</v>
      </c>
      <c r="F157" t="inlineStr">
        <is>
          <t>VÄSTRA GÖTALANDS LÄN</t>
        </is>
      </c>
      <c r="G157" t="inlineStr">
        <is>
          <t>MARK</t>
        </is>
      </c>
      <c r="H157" t="inlineStr">
        <is>
          <t>Sveaskog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46300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46300</v>
      </c>
      <c r="F159" t="inlineStr">
        <is>
          <t>VÄSTRA GÖTALANDS LÄN</t>
        </is>
      </c>
      <c r="G159" t="inlineStr">
        <is>
          <t>MARK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46300</v>
      </c>
      <c r="F160" t="inlineStr">
        <is>
          <t>VÄSTRA GÖTALANDS LÄN</t>
        </is>
      </c>
      <c r="G160" t="inlineStr">
        <is>
          <t>MARK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46300</v>
      </c>
      <c r="F161" t="inlineStr">
        <is>
          <t>VÄSTRA GÖTALANDS LÄN</t>
        </is>
      </c>
      <c r="G161" t="inlineStr">
        <is>
          <t>MARK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46300</v>
      </c>
      <c r="F162" t="inlineStr">
        <is>
          <t>VÄSTRA GÖTALANDS LÄN</t>
        </is>
      </c>
      <c r="G162" t="inlineStr">
        <is>
          <t>MARK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46300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46300</v>
      </c>
      <c r="F164" t="inlineStr">
        <is>
          <t>VÄSTRA GÖTALANDS LÄN</t>
        </is>
      </c>
      <c r="G164" t="inlineStr">
        <is>
          <t>MARK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46300</v>
      </c>
      <c r="F165" t="inlineStr">
        <is>
          <t>VÄSTRA GÖTALANDS LÄN</t>
        </is>
      </c>
      <c r="G165" t="inlineStr">
        <is>
          <t>MARK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46300</v>
      </c>
      <c r="F166" t="inlineStr">
        <is>
          <t>VÄSTRA GÖTALANDS LÄN</t>
        </is>
      </c>
      <c r="G166" t="inlineStr">
        <is>
          <t>MARK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46300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46300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46300</v>
      </c>
      <c r="F169" t="inlineStr">
        <is>
          <t>VÄSTRA GÖTALANDS LÄN</t>
        </is>
      </c>
      <c r="G169" t="inlineStr">
        <is>
          <t>MARK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40609-2025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45896</v>
      </c>
      <c r="E170" s="1" t="n">
        <v>46300</v>
      </c>
      <c r="F170" t="inlineStr">
        <is>
          <t>VÄSTRA GÖTALANDS LÄN</t>
        </is>
      </c>
      <c r="G170" t="inlineStr">
        <is>
          <t>MARK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46300</v>
      </c>
      <c r="F171" t="inlineStr">
        <is>
          <t>VÄSTRA GÖTALANDS LÄN</t>
        </is>
      </c>
      <c r="G171" t="inlineStr">
        <is>
          <t>MARK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45332</v>
      </c>
      <c r="E172" s="1" t="n">
        <v>46300</v>
      </c>
      <c r="F172" t="inlineStr">
        <is>
          <t>VÄSTRA GÖTALANDS LÄN</t>
        </is>
      </c>
      <c r="G172" t="inlineStr">
        <is>
          <t>MARK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45332</v>
      </c>
      <c r="E173" s="1" t="n">
        <v>46300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46300</v>
      </c>
      <c r="F174" t="inlineStr">
        <is>
          <t>VÄSTRA GÖTALANDS LÄN</t>
        </is>
      </c>
      <c r="G174" t="inlineStr">
        <is>
          <t>MARK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46300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46300</v>
      </c>
      <c r="F176" t="inlineStr">
        <is>
          <t>VÄSTRA GÖTALANDS LÄN</t>
        </is>
      </c>
      <c r="G176" t="inlineStr">
        <is>
          <t>MARK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46300</v>
      </c>
      <c r="F177" t="inlineStr">
        <is>
          <t>VÄSTRA GÖTALANDS LÄN</t>
        </is>
      </c>
      <c r="G177" t="inlineStr">
        <is>
          <t>MARK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46300</v>
      </c>
      <c r="F178" t="inlineStr">
        <is>
          <t>VÄSTRA GÖTALANDS LÄN</t>
        </is>
      </c>
      <c r="G178" t="inlineStr">
        <is>
          <t>MARK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34071-2023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45135</v>
      </c>
      <c r="E179" s="1" t="n">
        <v>46300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46300</v>
      </c>
      <c r="F180" t="inlineStr">
        <is>
          <t>VÄSTRA GÖTALANDS LÄN</t>
        </is>
      </c>
      <c r="G180" t="inlineStr">
        <is>
          <t>MARK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46300</v>
      </c>
      <c r="F181" t="inlineStr">
        <is>
          <t>VÄSTRA GÖTALANDS LÄN</t>
        </is>
      </c>
      <c r="G181" t="inlineStr">
        <is>
          <t>MARK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46300</v>
      </c>
      <c r="F182" t="inlineStr">
        <is>
          <t>VÄSTRA GÖTALANDS LÄN</t>
        </is>
      </c>
      <c r="G182" t="inlineStr">
        <is>
          <t>MARK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46300</v>
      </c>
      <c r="F183" t="inlineStr">
        <is>
          <t>VÄSTRA GÖTALANDS LÄN</t>
        </is>
      </c>
      <c r="G183" t="inlineStr">
        <is>
          <t>MARK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46300</v>
      </c>
      <c r="F184" t="inlineStr">
        <is>
          <t>VÄSTRA GÖTALANDS LÄN</t>
        </is>
      </c>
      <c r="G184" t="inlineStr">
        <is>
          <t>MARK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46300</v>
      </c>
      <c r="F185" t="inlineStr">
        <is>
          <t>VÄSTRA GÖTALANDS LÄN</t>
        </is>
      </c>
      <c r="G185" t="inlineStr">
        <is>
          <t>MARK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46300</v>
      </c>
      <c r="F186" t="inlineStr">
        <is>
          <t>VÄSTRA GÖTALANDS LÄN</t>
        </is>
      </c>
      <c r="G186" t="inlineStr">
        <is>
          <t>MARK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46300</v>
      </c>
      <c r="F187" t="inlineStr">
        <is>
          <t>VÄSTRA GÖTALANDS LÄN</t>
        </is>
      </c>
      <c r="G187" t="inlineStr">
        <is>
          <t>MARK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45016</v>
      </c>
      <c r="E188" s="1" t="n">
        <v>46300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46300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46300</v>
      </c>
      <c r="F190" t="inlineStr">
        <is>
          <t>VÄSTRA GÖTALANDS LÄN</t>
        </is>
      </c>
      <c r="G190" t="inlineStr">
        <is>
          <t>MARK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46300</v>
      </c>
      <c r="F191" t="inlineStr">
        <is>
          <t>VÄSTRA GÖTALANDS LÄN</t>
        </is>
      </c>
      <c r="G191" t="inlineStr">
        <is>
          <t>MARK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46300</v>
      </c>
      <c r="F192" t="inlineStr">
        <is>
          <t>VÄSTRA GÖTALANDS LÄN</t>
        </is>
      </c>
      <c r="G192" t="inlineStr">
        <is>
          <t>MARK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46300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46300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46300</v>
      </c>
      <c r="F195" t="inlineStr">
        <is>
          <t>VÄSTRA GÖTALANDS LÄN</t>
        </is>
      </c>
      <c r="G195" t="inlineStr">
        <is>
          <t>MARK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46300</v>
      </c>
      <c r="F196" t="inlineStr">
        <is>
          <t>VÄSTRA GÖTALANDS LÄN</t>
        </is>
      </c>
      <c r="G196" t="inlineStr">
        <is>
          <t>MARK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46300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46300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46300</v>
      </c>
      <c r="F199" t="inlineStr">
        <is>
          <t>VÄSTRA GÖTALANDS LÄN</t>
        </is>
      </c>
      <c r="G199" t="inlineStr">
        <is>
          <t>MARK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46300</v>
      </c>
      <c r="F200" t="inlineStr">
        <is>
          <t>VÄSTRA GÖTALANDS LÄN</t>
        </is>
      </c>
      <c r="G200" t="inlineStr">
        <is>
          <t>MARK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46300</v>
      </c>
      <c r="F201" t="inlineStr">
        <is>
          <t>VÄSTRA GÖTALANDS LÄN</t>
        </is>
      </c>
      <c r="G201" t="inlineStr">
        <is>
          <t>MARK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46300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44734</v>
      </c>
      <c r="E203" s="1" t="n">
        <v>46300</v>
      </c>
      <c r="F203" t="inlineStr">
        <is>
          <t>VÄSTRA GÖTALANDS LÄN</t>
        </is>
      </c>
      <c r="G203" t="inlineStr">
        <is>
          <t>MARK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46300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46300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46300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46300</v>
      </c>
      <c r="F207" t="inlineStr">
        <is>
          <t>VÄSTRA GÖTALANDS LÄN</t>
        </is>
      </c>
      <c r="G207" t="inlineStr">
        <is>
          <t>MARK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46046</v>
      </c>
      <c r="E208" s="1" t="n">
        <v>46300</v>
      </c>
      <c r="F208" t="inlineStr">
        <is>
          <t>VÄSTRA GÖTALANDS LÄN</t>
        </is>
      </c>
      <c r="G208" t="inlineStr">
        <is>
          <t>MARK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46300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46300</v>
      </c>
      <c r="F210" t="inlineStr">
        <is>
          <t>VÄSTRA GÖTALANDS LÄN</t>
        </is>
      </c>
      <c r="G210" t="inlineStr">
        <is>
          <t>MARK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46300</v>
      </c>
      <c r="F211" t="inlineStr">
        <is>
          <t>VÄSTRA GÖTALANDS LÄN</t>
        </is>
      </c>
      <c r="G211" t="inlineStr">
        <is>
          <t>MARK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46300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44982</v>
      </c>
      <c r="E213" s="1" t="n">
        <v>46300</v>
      </c>
      <c r="F213" t="inlineStr">
        <is>
          <t>VÄSTRA GÖTALANDS LÄN</t>
        </is>
      </c>
      <c r="G213" t="inlineStr">
        <is>
          <t>MARK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46300</v>
      </c>
      <c r="F214" t="inlineStr">
        <is>
          <t>VÄSTRA GÖTALANDS LÄN</t>
        </is>
      </c>
      <c r="G214" t="inlineStr">
        <is>
          <t>MARK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46300</v>
      </c>
      <c r="F215" t="inlineStr">
        <is>
          <t>VÄSTRA GÖTALANDS LÄN</t>
        </is>
      </c>
      <c r="G215" t="inlineStr">
        <is>
          <t>MARK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46300</v>
      </c>
      <c r="F216" t="inlineStr">
        <is>
          <t>VÄSTRA GÖTALANDS LÄN</t>
        </is>
      </c>
      <c r="G216" t="inlineStr">
        <is>
          <t>MARK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45807</v>
      </c>
      <c r="E217" s="1" t="n">
        <v>46300</v>
      </c>
      <c r="F217" t="inlineStr">
        <is>
          <t>VÄSTRA GÖTALANDS LÄN</t>
        </is>
      </c>
      <c r="G217" t="inlineStr">
        <is>
          <t>MARK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44760</v>
      </c>
      <c r="E218" s="1" t="n">
        <v>46300</v>
      </c>
      <c r="F218" t="inlineStr">
        <is>
          <t>VÄSTRA GÖTALANDS LÄN</t>
        </is>
      </c>
      <c r="G218" t="inlineStr">
        <is>
          <t>MARK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45751</v>
      </c>
      <c r="E219" s="1" t="n">
        <v>46300</v>
      </c>
      <c r="F219" t="inlineStr">
        <is>
          <t>VÄSTRA GÖTALANDS LÄN</t>
        </is>
      </c>
      <c r="G219" t="inlineStr">
        <is>
          <t>MARK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46300</v>
      </c>
      <c r="F220" t="inlineStr">
        <is>
          <t>VÄSTRA GÖTALANDS LÄN</t>
        </is>
      </c>
      <c r="G220" t="inlineStr">
        <is>
          <t>MARK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46300</v>
      </c>
      <c r="F221" t="inlineStr">
        <is>
          <t>VÄSTRA GÖTALANDS LÄN</t>
        </is>
      </c>
      <c r="G221" t="inlineStr">
        <is>
          <t>MARK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44762</v>
      </c>
      <c r="E222" s="1" t="n">
        <v>46300</v>
      </c>
      <c r="F222" t="inlineStr">
        <is>
          <t>VÄSTRA GÖTALANDS LÄN</t>
        </is>
      </c>
      <c r="G222" t="inlineStr">
        <is>
          <t>MARK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46300</v>
      </c>
      <c r="F223" t="inlineStr">
        <is>
          <t>VÄSTRA GÖTALANDS LÄN</t>
        </is>
      </c>
      <c r="G223" t="inlineStr">
        <is>
          <t>MARK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46300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46300</v>
      </c>
      <c r="F225" t="inlineStr">
        <is>
          <t>VÄSTRA GÖTALANDS LÄN</t>
        </is>
      </c>
      <c r="G225" t="inlineStr">
        <is>
          <t>MARK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46300</v>
      </c>
      <c r="F226" t="inlineStr">
        <is>
          <t>VÄSTRA GÖTALANDS LÄN</t>
        </is>
      </c>
      <c r="G226" t="inlineStr">
        <is>
          <t>MARK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46300</v>
      </c>
      <c r="F227" t="inlineStr">
        <is>
          <t>VÄSTRA GÖTALANDS LÄN</t>
        </is>
      </c>
      <c r="G227" t="inlineStr">
        <is>
          <t>MARK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46300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46300</v>
      </c>
      <c r="F229" t="inlineStr">
        <is>
          <t>VÄSTRA GÖTALANDS LÄN</t>
        </is>
      </c>
      <c r="G229" t="inlineStr">
        <is>
          <t>MARK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46300</v>
      </c>
      <c r="F230" t="inlineStr">
        <is>
          <t>VÄSTRA GÖTALANDS LÄN</t>
        </is>
      </c>
      <c r="G230" t="inlineStr">
        <is>
          <t>MARK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46512-2025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45925</v>
      </c>
      <c r="E231" s="1" t="n">
        <v>46300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46300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46300</v>
      </c>
      <c r="F233" t="inlineStr">
        <is>
          <t>VÄSTRA GÖTALANDS LÄN</t>
        </is>
      </c>
      <c r="G233" t="inlineStr">
        <is>
          <t>MARK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46300</v>
      </c>
      <c r="F234" t="inlineStr">
        <is>
          <t>VÄSTRA GÖTALANDS LÄN</t>
        </is>
      </c>
      <c r="G234" t="inlineStr">
        <is>
          <t>MARK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46300</v>
      </c>
      <c r="F235" t="inlineStr">
        <is>
          <t>VÄSTRA GÖTALANDS LÄN</t>
        </is>
      </c>
      <c r="G235" t="inlineStr">
        <is>
          <t>MARK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46300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46300</v>
      </c>
      <c r="F237" t="inlineStr">
        <is>
          <t>VÄSTRA GÖTALANDS LÄN</t>
        </is>
      </c>
      <c r="G237" t="inlineStr">
        <is>
          <t>MARK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46300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46300</v>
      </c>
      <c r="F239" t="inlineStr">
        <is>
          <t>VÄSTRA GÖTALANDS LÄN</t>
        </is>
      </c>
      <c r="G239" t="inlineStr">
        <is>
          <t>MARK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46300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46300</v>
      </c>
      <c r="F241" t="inlineStr">
        <is>
          <t>VÄSTRA GÖTALANDS LÄN</t>
        </is>
      </c>
      <c r="G241" t="inlineStr">
        <is>
          <t>MARK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44574</v>
      </c>
      <c r="E242" s="1" t="n">
        <v>46300</v>
      </c>
      <c r="F242" t="inlineStr">
        <is>
          <t>VÄSTRA GÖTALANDS LÄN</t>
        </is>
      </c>
      <c r="G242" t="inlineStr">
        <is>
          <t>MARK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46300</v>
      </c>
      <c r="F243" t="inlineStr">
        <is>
          <t>VÄSTRA GÖTALANDS LÄN</t>
        </is>
      </c>
      <c r="G243" t="inlineStr">
        <is>
          <t>MARK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46300</v>
      </c>
      <c r="F244" t="inlineStr">
        <is>
          <t>VÄSTRA GÖTALANDS LÄN</t>
        </is>
      </c>
      <c r="G244" t="inlineStr">
        <is>
          <t>MARK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46300</v>
      </c>
      <c r="F245" t="inlineStr">
        <is>
          <t>VÄSTRA GÖTALANDS LÄN</t>
        </is>
      </c>
      <c r="G245" t="inlineStr">
        <is>
          <t>MARK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46300</v>
      </c>
      <c r="F246" t="inlineStr">
        <is>
          <t>VÄSTRA GÖTALANDS LÄN</t>
        </is>
      </c>
      <c r="G246" t="inlineStr">
        <is>
          <t>MARK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45261</v>
      </c>
      <c r="E247" s="1" t="n">
        <v>46300</v>
      </c>
      <c r="F247" t="inlineStr">
        <is>
          <t>VÄSTRA GÖTALANDS LÄN</t>
        </is>
      </c>
      <c r="G247" t="inlineStr">
        <is>
          <t>MARK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44588</v>
      </c>
      <c r="E248" s="1" t="n">
        <v>46300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46300</v>
      </c>
      <c r="F249" t="inlineStr">
        <is>
          <t>VÄSTRA GÖTALANDS LÄN</t>
        </is>
      </c>
      <c r="G249" t="inlineStr">
        <is>
          <t>MARK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46300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46300</v>
      </c>
      <c r="F251" t="inlineStr">
        <is>
          <t>VÄSTRA GÖTALANDS LÄN</t>
        </is>
      </c>
      <c r="G251" t="inlineStr">
        <is>
          <t>MARK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46300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46300</v>
      </c>
      <c r="F253" t="inlineStr">
        <is>
          <t>VÄSTRA GÖTALANDS LÄN</t>
        </is>
      </c>
      <c r="G253" t="inlineStr">
        <is>
          <t>MARK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46300</v>
      </c>
      <c r="F254" t="inlineStr">
        <is>
          <t>VÄSTRA GÖTALANDS LÄN</t>
        </is>
      </c>
      <c r="G254" t="inlineStr">
        <is>
          <t>MARK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46300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46300</v>
      </c>
      <c r="F256" t="inlineStr">
        <is>
          <t>VÄSTRA GÖTALANDS LÄN</t>
        </is>
      </c>
      <c r="G256" t="inlineStr">
        <is>
          <t>MARK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46300</v>
      </c>
      <c r="F257" t="inlineStr">
        <is>
          <t>VÄSTRA GÖTALANDS LÄN</t>
        </is>
      </c>
      <c r="G257" t="inlineStr">
        <is>
          <t>MARK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44580</v>
      </c>
      <c r="E258" s="1" t="n">
        <v>46300</v>
      </c>
      <c r="F258" t="inlineStr">
        <is>
          <t>VÄSTRA GÖTALANDS LÄN</t>
        </is>
      </c>
      <c r="G258" t="inlineStr">
        <is>
          <t>MARK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45699</v>
      </c>
      <c r="E259" s="1" t="n">
        <v>46300</v>
      </c>
      <c r="F259" t="inlineStr">
        <is>
          <t>VÄSTRA GÖTALANDS LÄN</t>
        </is>
      </c>
      <c r="G259" t="inlineStr">
        <is>
          <t>MARK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46300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46300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11549-2026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46084</v>
      </c>
      <c r="E262" s="1" t="n">
        <v>46300</v>
      </c>
      <c r="F262" t="inlineStr">
        <is>
          <t>VÄSTRA GÖTALANDS LÄN</t>
        </is>
      </c>
      <c r="G262" t="inlineStr">
        <is>
          <t>MARK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46300</v>
      </c>
      <c r="F263" t="inlineStr">
        <is>
          <t>VÄSTRA GÖTALANDS LÄN</t>
        </is>
      </c>
      <c r="G263" t="inlineStr">
        <is>
          <t>MARK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46300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46300</v>
      </c>
      <c r="F265" t="inlineStr">
        <is>
          <t>VÄSTRA GÖTALANDS LÄN</t>
        </is>
      </c>
      <c r="G265" t="inlineStr">
        <is>
          <t>MARK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46300</v>
      </c>
      <c r="F266" t="inlineStr">
        <is>
          <t>VÄSTRA GÖTALANDS LÄN</t>
        </is>
      </c>
      <c r="G266" t="inlineStr">
        <is>
          <t>MARK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45471</v>
      </c>
      <c r="E267" s="1" t="n">
        <v>46300</v>
      </c>
      <c r="F267" t="inlineStr">
        <is>
          <t>VÄSTRA GÖTALANDS LÄN</t>
        </is>
      </c>
      <c r="G267" t="inlineStr">
        <is>
          <t>MARK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46300</v>
      </c>
      <c r="F268" t="inlineStr">
        <is>
          <t>VÄSTRA GÖTALANDS LÄN</t>
        </is>
      </c>
      <c r="G268" t="inlineStr">
        <is>
          <t>MARK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46300</v>
      </c>
      <c r="F269" t="inlineStr">
        <is>
          <t>VÄSTRA GÖTALANDS LÄN</t>
        </is>
      </c>
      <c r="G269" t="inlineStr">
        <is>
          <t>MARK</t>
        </is>
      </c>
      <c r="H269" t="inlineStr">
        <is>
          <t>Sveaskog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46300</v>
      </c>
      <c r="F270" t="inlineStr">
        <is>
          <t>VÄSTRA GÖTALANDS LÄN</t>
        </is>
      </c>
      <c r="G270" t="inlineStr">
        <is>
          <t>MARK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46300</v>
      </c>
      <c r="F271" t="inlineStr">
        <is>
          <t>VÄSTRA GÖTALANDS LÄN</t>
        </is>
      </c>
      <c r="G271" t="inlineStr">
        <is>
          <t>MARK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46300</v>
      </c>
      <c r="F272" t="inlineStr">
        <is>
          <t>VÄSTRA GÖTALANDS LÄN</t>
        </is>
      </c>
      <c r="G272" t="inlineStr">
        <is>
          <t>MARK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46300</v>
      </c>
      <c r="F273" t="inlineStr">
        <is>
          <t>VÄSTRA GÖTALANDS LÄN</t>
        </is>
      </c>
      <c r="G273" t="inlineStr">
        <is>
          <t>MARK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46300</v>
      </c>
      <c r="F274" t="inlineStr">
        <is>
          <t>VÄSTRA GÖTALANDS LÄN</t>
        </is>
      </c>
      <c r="G274" t="inlineStr">
        <is>
          <t>MARK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46300</v>
      </c>
      <c r="F275" t="inlineStr">
        <is>
          <t>VÄSTRA GÖTALANDS LÄN</t>
        </is>
      </c>
      <c r="G275" t="inlineStr">
        <is>
          <t>MARK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18337-2022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44685</v>
      </c>
      <c r="E276" s="1" t="n">
        <v>46300</v>
      </c>
      <c r="F276" t="inlineStr">
        <is>
          <t>VÄSTRA GÖTALANDS LÄN</t>
        </is>
      </c>
      <c r="G276" t="inlineStr">
        <is>
          <t>MARK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46300</v>
      </c>
      <c r="F277" t="inlineStr">
        <is>
          <t>VÄSTRA GÖTALANDS LÄN</t>
        </is>
      </c>
      <c r="G277" t="inlineStr">
        <is>
          <t>MARK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44573-2024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45574</v>
      </c>
      <c r="E278" s="1" t="n">
        <v>46300</v>
      </c>
      <c r="F278" t="inlineStr">
        <is>
          <t>VÄSTRA GÖTALANDS LÄN</t>
        </is>
      </c>
      <c r="G278" t="inlineStr">
        <is>
          <t>MARK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46300</v>
      </c>
      <c r="F279" t="inlineStr">
        <is>
          <t>VÄSTRA GÖTALANDS LÄN</t>
        </is>
      </c>
      <c r="G279" t="inlineStr">
        <is>
          <t>MARK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13003-2026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46092</v>
      </c>
      <c r="E280" s="1" t="n">
        <v>46300</v>
      </c>
      <c r="F280" t="inlineStr">
        <is>
          <t>VÄSTRA GÖTALANDS LÄN</t>
        </is>
      </c>
      <c r="G280" t="inlineStr">
        <is>
          <t>MARK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46300</v>
      </c>
      <c r="F281" t="inlineStr">
        <is>
          <t>VÄSTRA GÖTALANDS LÄN</t>
        </is>
      </c>
      <c r="G281" t="inlineStr">
        <is>
          <t>MARK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46300</v>
      </c>
      <c r="F282" t="inlineStr">
        <is>
          <t>VÄSTRA GÖTALANDS LÄN</t>
        </is>
      </c>
      <c r="G282" t="inlineStr">
        <is>
          <t>MARK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46300</v>
      </c>
      <c r="F283" t="inlineStr">
        <is>
          <t>VÄSTRA GÖTALANDS LÄN</t>
        </is>
      </c>
      <c r="G283" t="inlineStr">
        <is>
          <t>MARK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46097</v>
      </c>
      <c r="E284" s="1" t="n">
        <v>46300</v>
      </c>
      <c r="F284" t="inlineStr">
        <is>
          <t>VÄSTRA GÖTALANDS LÄN</t>
        </is>
      </c>
      <c r="G284" t="inlineStr">
        <is>
          <t>MARK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46300</v>
      </c>
      <c r="F285" t="inlineStr">
        <is>
          <t>VÄSTRA GÖTALANDS LÄN</t>
        </is>
      </c>
      <c r="G285" t="inlineStr">
        <is>
          <t>MARK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14692-2024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45397</v>
      </c>
      <c r="E286" s="1" t="n">
        <v>46300</v>
      </c>
      <c r="F286" t="inlineStr">
        <is>
          <t>VÄSTRA GÖTALANDS LÄN</t>
        </is>
      </c>
      <c r="G286" t="inlineStr">
        <is>
          <t>MARK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46300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46300</v>
      </c>
      <c r="F288" t="inlineStr">
        <is>
          <t>VÄSTRA GÖTALANDS LÄN</t>
        </is>
      </c>
      <c r="G288" t="inlineStr">
        <is>
          <t>MARK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46300</v>
      </c>
      <c r="F289" t="inlineStr">
        <is>
          <t>VÄSTRA GÖTALANDS LÄN</t>
        </is>
      </c>
      <c r="G289" t="inlineStr">
        <is>
          <t>MARK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46300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16354-2025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45751</v>
      </c>
      <c r="E291" s="1" t="n">
        <v>46300</v>
      </c>
      <c r="F291" t="inlineStr">
        <is>
          <t>VÄSTRA GÖTALANDS LÄN</t>
        </is>
      </c>
      <c r="G291" t="inlineStr">
        <is>
          <t>MARK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46300</v>
      </c>
      <c r="F292" t="inlineStr">
        <is>
          <t>VÄSTRA GÖTALANDS LÄN</t>
        </is>
      </c>
      <c r="G292" t="inlineStr">
        <is>
          <t>MARK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46300</v>
      </c>
      <c r="F293" t="inlineStr">
        <is>
          <t>VÄSTRA GÖTALANDS LÄN</t>
        </is>
      </c>
      <c r="G293" t="inlineStr">
        <is>
          <t>MARK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46300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46300</v>
      </c>
      <c r="F295" t="inlineStr">
        <is>
          <t>VÄSTRA GÖTALANDS LÄN</t>
        </is>
      </c>
      <c r="G295" t="inlineStr">
        <is>
          <t>MARK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15667-2023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45021</v>
      </c>
      <c r="E296" s="1" t="n">
        <v>46300</v>
      </c>
      <c r="F296" t="inlineStr">
        <is>
          <t>VÄSTRA GÖTALANDS LÄN</t>
        </is>
      </c>
      <c r="G296" t="inlineStr">
        <is>
          <t>MARK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46300</v>
      </c>
      <c r="F297" t="inlineStr">
        <is>
          <t>VÄSTRA GÖTALANDS LÄN</t>
        </is>
      </c>
      <c r="G297" t="inlineStr">
        <is>
          <t>MARK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46300</v>
      </c>
      <c r="F298" t="inlineStr">
        <is>
          <t>VÄSTRA GÖTALANDS LÄN</t>
        </is>
      </c>
      <c r="G298" t="inlineStr">
        <is>
          <t>MARK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46300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46300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46300</v>
      </c>
      <c r="F301" t="inlineStr">
        <is>
          <t>VÄSTRA GÖTALANDS LÄN</t>
        </is>
      </c>
      <c r="G301" t="inlineStr">
        <is>
          <t>MARK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46300</v>
      </c>
      <c r="F302" t="inlineStr">
        <is>
          <t>VÄSTRA GÖTALANDS LÄN</t>
        </is>
      </c>
      <c r="G302" t="inlineStr">
        <is>
          <t>MARK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46300</v>
      </c>
      <c r="F303" t="inlineStr">
        <is>
          <t>VÄSTRA GÖTALANDS LÄN</t>
        </is>
      </c>
      <c r="G303" t="inlineStr">
        <is>
          <t>MARK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45202</v>
      </c>
      <c r="E304" s="1" t="n">
        <v>46300</v>
      </c>
      <c r="F304" t="inlineStr">
        <is>
          <t>VÄSTRA GÖTALANDS LÄN</t>
        </is>
      </c>
      <c r="G304" t="inlineStr">
        <is>
          <t>MARK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46300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46300</v>
      </c>
      <c r="F306" t="inlineStr">
        <is>
          <t>VÄSTRA GÖTALANDS LÄN</t>
        </is>
      </c>
      <c r="G306" t="inlineStr">
        <is>
          <t>MARK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46300</v>
      </c>
      <c r="F307" t="inlineStr">
        <is>
          <t>VÄSTRA GÖTALANDS LÄN</t>
        </is>
      </c>
      <c r="G307" t="inlineStr">
        <is>
          <t>MARK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9890-2025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45716</v>
      </c>
      <c r="E308" s="1" t="n">
        <v>46300</v>
      </c>
      <c r="F308" t="inlineStr">
        <is>
          <t>VÄSTRA GÖTALANDS LÄN</t>
        </is>
      </c>
      <c r="G308" t="inlineStr">
        <is>
          <t>MARK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45397</v>
      </c>
      <c r="E309" s="1" t="n">
        <v>46300</v>
      </c>
      <c r="F309" t="inlineStr">
        <is>
          <t>VÄSTRA GÖTALANDS LÄN</t>
        </is>
      </c>
      <c r="G309" t="inlineStr">
        <is>
          <t>MARK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46300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46300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46300</v>
      </c>
      <c r="F312" t="inlineStr">
        <is>
          <t>VÄSTRA GÖTALANDS LÄN</t>
        </is>
      </c>
      <c r="G312" t="inlineStr">
        <is>
          <t>MARK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44764</v>
      </c>
      <c r="E313" s="1" t="n">
        <v>46300</v>
      </c>
      <c r="F313" t="inlineStr">
        <is>
          <t>VÄSTRA GÖTALANDS LÄN</t>
        </is>
      </c>
      <c r="G313" t="inlineStr">
        <is>
          <t>MARK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46300</v>
      </c>
      <c r="F314" t="inlineStr">
        <is>
          <t>VÄSTRA GÖTALANDS LÄN</t>
        </is>
      </c>
      <c r="G314" t="inlineStr">
        <is>
          <t>MARK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46300</v>
      </c>
      <c r="F315" t="inlineStr">
        <is>
          <t>VÄSTRA GÖTALANDS LÄN</t>
        </is>
      </c>
      <c r="G315" t="inlineStr">
        <is>
          <t>MARK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43477-2025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45911</v>
      </c>
      <c r="E316" s="1" t="n">
        <v>46300</v>
      </c>
      <c r="F316" t="inlineStr">
        <is>
          <t>VÄSTRA GÖTALANDS LÄN</t>
        </is>
      </c>
      <c r="G316" t="inlineStr">
        <is>
          <t>MARK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45490</v>
      </c>
      <c r="E317" s="1" t="n">
        <v>46300</v>
      </c>
      <c r="F317" t="inlineStr">
        <is>
          <t>VÄSTRA GÖTALANDS LÄN</t>
        </is>
      </c>
      <c r="G317" t="inlineStr">
        <is>
          <t>MARK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45490</v>
      </c>
      <c r="E318" s="1" t="n">
        <v>46300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45490</v>
      </c>
      <c r="E319" s="1" t="n">
        <v>46300</v>
      </c>
      <c r="F319" t="inlineStr">
        <is>
          <t>VÄSTRA GÖTALANDS LÄN</t>
        </is>
      </c>
      <c r="G319" t="inlineStr">
        <is>
          <t>MARK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46300</v>
      </c>
      <c r="F320" t="inlineStr">
        <is>
          <t>VÄSTRA GÖTALANDS LÄN</t>
        </is>
      </c>
      <c r="G320" t="inlineStr">
        <is>
          <t>MARK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46300</v>
      </c>
      <c r="F321" t="inlineStr">
        <is>
          <t>VÄSTRA GÖTALANDS LÄN</t>
        </is>
      </c>
      <c r="G321" t="inlineStr">
        <is>
          <t>MARK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46300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46300</v>
      </c>
      <c r="F323" t="inlineStr">
        <is>
          <t>VÄSTRA GÖTALANDS LÄN</t>
        </is>
      </c>
      <c r="G323" t="inlineStr">
        <is>
          <t>MARK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46300</v>
      </c>
      <c r="F324" t="inlineStr">
        <is>
          <t>VÄSTRA GÖTALANDS LÄN</t>
        </is>
      </c>
      <c r="G324" t="inlineStr">
        <is>
          <t>MARK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45743</v>
      </c>
      <c r="E325" s="1" t="n">
        <v>46300</v>
      </c>
      <c r="F325" t="inlineStr">
        <is>
          <t>VÄSTRA GÖTALANDS LÄN</t>
        </is>
      </c>
      <c r="G325" t="inlineStr">
        <is>
          <t>MARK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46300</v>
      </c>
      <c r="F326" t="inlineStr">
        <is>
          <t>VÄSTRA GÖTALANDS LÄN</t>
        </is>
      </c>
      <c r="G326" t="inlineStr">
        <is>
          <t>MARK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46300</v>
      </c>
      <c r="F327" t="inlineStr">
        <is>
          <t>VÄSTRA GÖTALANDS LÄN</t>
        </is>
      </c>
      <c r="G327" t="inlineStr">
        <is>
          <t>MARK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46300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46300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46300</v>
      </c>
      <c r="F330" t="inlineStr">
        <is>
          <t>VÄSTRA GÖTALANDS LÄN</t>
        </is>
      </c>
      <c r="G330" t="inlineStr">
        <is>
          <t>MARK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46300</v>
      </c>
      <c r="F331" t="inlineStr">
        <is>
          <t>VÄSTRA GÖTALANDS LÄN</t>
        </is>
      </c>
      <c r="G331" t="inlineStr">
        <is>
          <t>MARK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46300</v>
      </c>
      <c r="F332" t="inlineStr">
        <is>
          <t>VÄSTRA GÖTALANDS LÄN</t>
        </is>
      </c>
      <c r="G332" t="inlineStr">
        <is>
          <t>MARK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46300</v>
      </c>
      <c r="F333" t="inlineStr">
        <is>
          <t>VÄSTRA GÖTALANDS LÄN</t>
        </is>
      </c>
      <c r="G333" t="inlineStr">
        <is>
          <t>MARK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46300</v>
      </c>
      <c r="F334" t="inlineStr">
        <is>
          <t>VÄSTRA GÖTALANDS LÄN</t>
        </is>
      </c>
      <c r="G334" t="inlineStr">
        <is>
          <t>MARK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46300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46300</v>
      </c>
      <c r="F336" t="inlineStr">
        <is>
          <t>VÄSTRA GÖTALANDS LÄN</t>
        </is>
      </c>
      <c r="G336" t="inlineStr">
        <is>
          <t>MARK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45091</v>
      </c>
      <c r="E337" s="1" t="n">
        <v>46300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46300</v>
      </c>
      <c r="F338" t="inlineStr">
        <is>
          <t>VÄSTRA GÖTALANDS LÄN</t>
        </is>
      </c>
      <c r="G338" t="inlineStr">
        <is>
          <t>MARK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46300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45833</v>
      </c>
      <c r="E340" s="1" t="n">
        <v>46300</v>
      </c>
      <c r="F340" t="inlineStr">
        <is>
          <t>VÄSTRA GÖTALANDS LÄN</t>
        </is>
      </c>
      <c r="G340" t="inlineStr">
        <is>
          <t>MARK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46300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44715</v>
      </c>
      <c r="E342" s="1" t="n">
        <v>46300</v>
      </c>
      <c r="F342" t="inlineStr">
        <is>
          <t>VÄSTRA GÖTALANDS LÄN</t>
        </is>
      </c>
      <c r="G342" t="inlineStr">
        <is>
          <t>MARK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46300</v>
      </c>
      <c r="F343" t="inlineStr">
        <is>
          <t>VÄSTRA GÖTALANDS LÄN</t>
        </is>
      </c>
      <c r="G343" t="inlineStr">
        <is>
          <t>MARK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46300</v>
      </c>
      <c r="F344" t="inlineStr">
        <is>
          <t>VÄSTRA GÖTALANDS LÄN</t>
        </is>
      </c>
      <c r="G344" t="inlineStr">
        <is>
          <t>MARK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46450-2023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45197</v>
      </c>
      <c r="E345" s="1" t="n">
        <v>46300</v>
      </c>
      <c r="F345" t="inlineStr">
        <is>
          <t>VÄSTRA GÖTALANDS LÄN</t>
        </is>
      </c>
      <c r="G345" t="inlineStr">
        <is>
          <t>MARK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46300</v>
      </c>
      <c r="F346" t="inlineStr">
        <is>
          <t>VÄSTRA GÖTALANDS LÄN</t>
        </is>
      </c>
      <c r="G346" t="inlineStr">
        <is>
          <t>MARK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46300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46300</v>
      </c>
      <c r="F348" t="inlineStr">
        <is>
          <t>VÄSTRA GÖTALANDS LÄN</t>
        </is>
      </c>
      <c r="G348" t="inlineStr">
        <is>
          <t>MARK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46300</v>
      </c>
      <c r="F349" t="inlineStr">
        <is>
          <t>VÄSTRA GÖTALANDS LÄN</t>
        </is>
      </c>
      <c r="G349" t="inlineStr">
        <is>
          <t>MARK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32885-2025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45839</v>
      </c>
      <c r="E350" s="1" t="n">
        <v>46300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45838</v>
      </c>
      <c r="E351" s="1" t="n">
        <v>46300</v>
      </c>
      <c r="F351" t="inlineStr">
        <is>
          <t>VÄSTRA GÖTALANDS LÄN</t>
        </is>
      </c>
      <c r="G351" t="inlineStr">
        <is>
          <t>MARK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46300</v>
      </c>
      <c r="F352" t="inlineStr">
        <is>
          <t>VÄSTRA GÖTALANDS LÄN</t>
        </is>
      </c>
      <c r="G352" t="inlineStr">
        <is>
          <t>MARK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46300</v>
      </c>
      <c r="F353" t="inlineStr">
        <is>
          <t>VÄSTRA GÖTALANDS LÄN</t>
        </is>
      </c>
      <c r="G353" t="inlineStr">
        <is>
          <t>MARK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61486-2021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46300</v>
      </c>
      <c r="F354" t="inlineStr">
        <is>
          <t>VÄSTRA GÖTALANDS LÄN</t>
        </is>
      </c>
      <c r="G354" t="inlineStr">
        <is>
          <t>MARK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46300</v>
      </c>
      <c r="F355" t="inlineStr">
        <is>
          <t>VÄSTRA GÖTALANDS LÄN</t>
        </is>
      </c>
      <c r="G355" t="inlineStr">
        <is>
          <t>MARK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46300</v>
      </c>
      <c r="F356" t="inlineStr">
        <is>
          <t>VÄSTRA GÖTALANDS LÄN</t>
        </is>
      </c>
      <c r="G356" t="inlineStr">
        <is>
          <t>MARK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46300</v>
      </c>
      <c r="F357" t="inlineStr">
        <is>
          <t>VÄSTRA GÖTALANDS LÄN</t>
        </is>
      </c>
      <c r="G357" t="inlineStr">
        <is>
          <t>MARK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45322</v>
      </c>
      <c r="E358" s="1" t="n">
        <v>46300</v>
      </c>
      <c r="F358" t="inlineStr">
        <is>
          <t>VÄSTRA GÖTALANDS LÄN</t>
        </is>
      </c>
      <c r="G358" t="inlineStr">
        <is>
          <t>MARK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46300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46300</v>
      </c>
      <c r="F360" t="inlineStr">
        <is>
          <t>VÄSTRA GÖTALANDS LÄN</t>
        </is>
      </c>
      <c r="G360" t="inlineStr">
        <is>
          <t>MARK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45841</v>
      </c>
      <c r="E361" s="1" t="n">
        <v>46300</v>
      </c>
      <c r="F361" t="inlineStr">
        <is>
          <t>VÄSTRA GÖTALANDS LÄN</t>
        </is>
      </c>
      <c r="G361" t="inlineStr">
        <is>
          <t>MARK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46300</v>
      </c>
      <c r="F362" t="inlineStr">
        <is>
          <t>VÄSTRA GÖTALANDS LÄN</t>
        </is>
      </c>
      <c r="G362" t="inlineStr">
        <is>
          <t>MARK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45450</v>
      </c>
      <c r="E363" s="1" t="n">
        <v>46300</v>
      </c>
      <c r="F363" t="inlineStr">
        <is>
          <t>VÄSTRA GÖTALANDS LÄN</t>
        </is>
      </c>
      <c r="G363" t="inlineStr">
        <is>
          <t>MARK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46300</v>
      </c>
      <c r="F364" t="inlineStr">
        <is>
          <t>VÄSTRA GÖTALANDS LÄN</t>
        </is>
      </c>
      <c r="G364" t="inlineStr">
        <is>
          <t>MARK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10583-2022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44624</v>
      </c>
      <c r="E365" s="1" t="n">
        <v>46300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46300</v>
      </c>
      <c r="F366" t="inlineStr">
        <is>
          <t>VÄSTRA GÖTALANDS LÄN</t>
        </is>
      </c>
      <c r="G366" t="inlineStr">
        <is>
          <t>MARK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46300</v>
      </c>
      <c r="F367" t="inlineStr">
        <is>
          <t>VÄSTRA GÖTALANDS LÄN</t>
        </is>
      </c>
      <c r="G367" t="inlineStr">
        <is>
          <t>MARK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46300</v>
      </c>
      <c r="F368" t="inlineStr">
        <is>
          <t>VÄSTRA GÖTALANDS LÄN</t>
        </is>
      </c>
      <c r="G368" t="inlineStr">
        <is>
          <t>MARK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46300</v>
      </c>
      <c r="F369" t="inlineStr">
        <is>
          <t>VÄSTRA GÖTALANDS LÄN</t>
        </is>
      </c>
      <c r="G369" t="inlineStr">
        <is>
          <t>MARK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34085-2025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46300</v>
      </c>
      <c r="F370" t="inlineStr">
        <is>
          <t>VÄSTRA GÖTALANDS LÄN</t>
        </is>
      </c>
      <c r="G370" t="inlineStr">
        <is>
          <t>MARK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46300</v>
      </c>
      <c r="F371" t="inlineStr">
        <is>
          <t>VÄSTRA GÖTALANDS LÄN</t>
        </is>
      </c>
      <c r="G371" t="inlineStr">
        <is>
          <t>MARK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45631</v>
      </c>
      <c r="E372" s="1" t="n">
        <v>46300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45847</v>
      </c>
      <c r="E373" s="1" t="n">
        <v>46300</v>
      </c>
      <c r="F373" t="inlineStr">
        <is>
          <t>VÄSTRA GÖTALANDS LÄN</t>
        </is>
      </c>
      <c r="G373" t="inlineStr">
        <is>
          <t>MARK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46300</v>
      </c>
      <c r="F374" t="inlineStr">
        <is>
          <t>VÄSTRA GÖTALANDS LÄN</t>
        </is>
      </c>
      <c r="G374" t="inlineStr">
        <is>
          <t>MARK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46300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45642</v>
      </c>
      <c r="E376" s="1" t="n">
        <v>46300</v>
      </c>
      <c r="F376" t="inlineStr">
        <is>
          <t>VÄSTRA GÖTALANDS LÄN</t>
        </is>
      </c>
      <c r="G376" t="inlineStr">
        <is>
          <t>MARK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46300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45684</v>
      </c>
      <c r="E378" s="1" t="n">
        <v>46300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45063</v>
      </c>
      <c r="E379" s="1" t="n">
        <v>46300</v>
      </c>
      <c r="F379" t="inlineStr">
        <is>
          <t>VÄSTRA GÖTALANDS LÄN</t>
        </is>
      </c>
      <c r="G379" t="inlineStr">
        <is>
          <t>MARK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46300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46300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45335</v>
      </c>
      <c r="E382" s="1" t="n">
        <v>46300</v>
      </c>
      <c r="F382" t="inlineStr">
        <is>
          <t>VÄSTRA GÖTALANDS LÄN</t>
        </is>
      </c>
      <c r="G382" t="inlineStr">
        <is>
          <t>MARK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45807</v>
      </c>
      <c r="E383" s="1" t="n">
        <v>46300</v>
      </c>
      <c r="F383" t="inlineStr">
        <is>
          <t>VÄSTRA GÖTALANDS LÄN</t>
        </is>
      </c>
      <c r="G383" t="inlineStr">
        <is>
          <t>MARK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44971</v>
      </c>
      <c r="E384" s="1" t="n">
        <v>46300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46300</v>
      </c>
      <c r="F385" t="inlineStr">
        <is>
          <t>VÄSTRA GÖTALANDS LÄN</t>
        </is>
      </c>
      <c r="G385" t="inlineStr">
        <is>
          <t>MARK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46300</v>
      </c>
      <c r="F386" t="inlineStr">
        <is>
          <t>VÄSTRA GÖTALANDS LÄN</t>
        </is>
      </c>
      <c r="G386" t="inlineStr">
        <is>
          <t>MARK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46300</v>
      </c>
      <c r="F387" t="inlineStr">
        <is>
          <t>VÄSTRA GÖTALANDS LÄN</t>
        </is>
      </c>
      <c r="G387" t="inlineStr">
        <is>
          <t>MARK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45854</v>
      </c>
      <c r="E388" s="1" t="n">
        <v>46300</v>
      </c>
      <c r="F388" t="inlineStr">
        <is>
          <t>VÄSTRA GÖTALANDS LÄN</t>
        </is>
      </c>
      <c r="G388" t="inlineStr">
        <is>
          <t>MARK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46300</v>
      </c>
      <c r="F389" t="inlineStr">
        <is>
          <t>VÄSTRA GÖTALANDS LÄN</t>
        </is>
      </c>
      <c r="G389" t="inlineStr">
        <is>
          <t>MARK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46300</v>
      </c>
      <c r="F390" t="inlineStr">
        <is>
          <t>VÄSTRA GÖTALANDS LÄN</t>
        </is>
      </c>
      <c r="G390" t="inlineStr">
        <is>
          <t>MARK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69289-2021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46300</v>
      </c>
      <c r="F391" t="inlineStr">
        <is>
          <t>VÄSTRA GÖTALANDS LÄN</t>
        </is>
      </c>
      <c r="G391" t="inlineStr">
        <is>
          <t>MARK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45137</v>
      </c>
      <c r="E392" s="1" t="n">
        <v>46300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46300</v>
      </c>
      <c r="F393" t="inlineStr">
        <is>
          <t>VÄSTRA GÖTALANDS LÄN</t>
        </is>
      </c>
      <c r="G393" t="inlineStr">
        <is>
          <t>MARK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46300</v>
      </c>
      <c r="F394" t="inlineStr">
        <is>
          <t>VÄSTRA GÖTALANDS LÄN</t>
        </is>
      </c>
      <c r="G394" t="inlineStr">
        <is>
          <t>MARK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46300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46300</v>
      </c>
      <c r="F396" t="inlineStr">
        <is>
          <t>VÄSTRA GÖTALANDS LÄN</t>
        </is>
      </c>
      <c r="G396" t="inlineStr">
        <is>
          <t>MARK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45811</v>
      </c>
      <c r="E397" s="1" t="n">
        <v>46300</v>
      </c>
      <c r="F397" t="inlineStr">
        <is>
          <t>VÄSTRA GÖTALANDS LÄN</t>
        </is>
      </c>
      <c r="G397" t="inlineStr">
        <is>
          <t>MARK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46300</v>
      </c>
      <c r="F398" t="inlineStr">
        <is>
          <t>VÄSTRA GÖTALANDS LÄN</t>
        </is>
      </c>
      <c r="G398" t="inlineStr">
        <is>
          <t>MARK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46300</v>
      </c>
      <c r="F399" t="inlineStr">
        <is>
          <t>VÄSTRA GÖTALANDS LÄN</t>
        </is>
      </c>
      <c r="G399" t="inlineStr">
        <is>
          <t>MARK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36374-2025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45868</v>
      </c>
      <c r="E400" s="1" t="n">
        <v>46300</v>
      </c>
      <c r="F400" t="inlineStr">
        <is>
          <t>VÄSTRA GÖTALANDS LÄN</t>
        </is>
      </c>
      <c r="G400" t="inlineStr">
        <is>
          <t>MARK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46300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44838</v>
      </c>
      <c r="E402" s="1" t="n">
        <v>46300</v>
      </c>
      <c r="F402" t="inlineStr">
        <is>
          <t>VÄSTRA GÖTALANDS LÄN</t>
        </is>
      </c>
      <c r="G402" t="inlineStr">
        <is>
          <t>MARK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29366-2023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45106</v>
      </c>
      <c r="E403" s="1" t="n">
        <v>46300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29368-2023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45106</v>
      </c>
      <c r="E404" s="1" t="n">
        <v>46300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46300</v>
      </c>
      <c r="F405" t="inlineStr">
        <is>
          <t>VÄSTRA GÖTALANDS LÄN</t>
        </is>
      </c>
      <c r="G405" t="inlineStr">
        <is>
          <t>MARK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46300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45862</v>
      </c>
      <c r="E407" s="1" t="n">
        <v>46300</v>
      </c>
      <c r="F407" t="inlineStr">
        <is>
          <t>VÄSTRA GÖTALANDS LÄN</t>
        </is>
      </c>
      <c r="G407" t="inlineStr">
        <is>
          <t>MARK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46300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46300</v>
      </c>
      <c r="F409" t="inlineStr">
        <is>
          <t>VÄSTRA GÖTALANDS LÄN</t>
        </is>
      </c>
      <c r="G409" t="inlineStr">
        <is>
          <t>MARK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46300</v>
      </c>
      <c r="F410" t="inlineStr">
        <is>
          <t>VÄSTRA GÖTALANDS LÄN</t>
        </is>
      </c>
      <c r="G410" t="inlineStr">
        <is>
          <t>MARK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46300</v>
      </c>
      <c r="F411" t="inlineStr">
        <is>
          <t>VÄSTRA GÖTALANDS LÄN</t>
        </is>
      </c>
      <c r="G411" t="inlineStr">
        <is>
          <t>MARK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46300</v>
      </c>
      <c r="F412" t="inlineStr">
        <is>
          <t>VÄSTRA GÖTALANDS LÄN</t>
        </is>
      </c>
      <c r="G412" t="inlineStr">
        <is>
          <t>MARK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46300</v>
      </c>
      <c r="F413" t="inlineStr">
        <is>
          <t>VÄSTRA GÖTALANDS LÄN</t>
        </is>
      </c>
      <c r="G413" t="inlineStr">
        <is>
          <t>MARK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45867</v>
      </c>
      <c r="E414" s="1" t="n">
        <v>46300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46300</v>
      </c>
      <c r="F415" t="inlineStr">
        <is>
          <t>VÄSTRA GÖTALANDS LÄN</t>
        </is>
      </c>
      <c r="G415" t="inlineStr">
        <is>
          <t>MARK</t>
        </is>
      </c>
      <c r="I415" t="n">
        <v>26.5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46300</v>
      </c>
      <c r="F416" t="inlineStr">
        <is>
          <t>VÄSTRA GÖTALANDS LÄN</t>
        </is>
      </c>
      <c r="G416" t="inlineStr">
        <is>
          <t>MARK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52242-2023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45224</v>
      </c>
      <c r="E417" s="1" t="n">
        <v>46300</v>
      </c>
      <c r="F417" t="inlineStr">
        <is>
          <t>VÄSTRA GÖTALANDS LÄN</t>
        </is>
      </c>
      <c r="G417" t="inlineStr">
        <is>
          <t>MARK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46300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46300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46300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46300</v>
      </c>
      <c r="F421" t="inlineStr">
        <is>
          <t>VÄSTRA GÖTALANDS LÄN</t>
        </is>
      </c>
      <c r="G421" t="inlineStr">
        <is>
          <t>MARK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36659-2022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44804</v>
      </c>
      <c r="E422" s="1" t="n">
        <v>46300</v>
      </c>
      <c r="F422" t="inlineStr">
        <is>
          <t>VÄSTRA GÖTALANDS LÄN</t>
        </is>
      </c>
      <c r="G422" t="inlineStr">
        <is>
          <t>MARK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46300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44928</v>
      </c>
      <c r="E424" s="1" t="n">
        <v>46300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46300</v>
      </c>
      <c r="F425" t="inlineStr">
        <is>
          <t>VÄSTRA GÖTALANDS LÄN</t>
        </is>
      </c>
      <c r="G425" t="inlineStr">
        <is>
          <t>MARK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46300</v>
      </c>
      <c r="F426" t="inlineStr">
        <is>
          <t>VÄSTRA GÖTALANDS LÄN</t>
        </is>
      </c>
      <c r="G426" t="inlineStr">
        <is>
          <t>MARK</t>
        </is>
      </c>
      <c r="I426" t="n">
        <v>11.8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44869</v>
      </c>
      <c r="E427" s="1" t="n">
        <v>46300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46300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46300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44901</v>
      </c>
      <c r="E430" s="1" t="n">
        <v>46300</v>
      </c>
      <c r="F430" t="inlineStr">
        <is>
          <t>VÄSTRA GÖTALANDS LÄN</t>
        </is>
      </c>
      <c r="G430" t="inlineStr">
        <is>
          <t>MARK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46300</v>
      </c>
      <c r="F431" t="inlineStr">
        <is>
          <t>VÄSTRA GÖTALANDS LÄN</t>
        </is>
      </c>
      <c r="G431" t="inlineStr">
        <is>
          <t>MARK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22625-2022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44714</v>
      </c>
      <c r="E432" s="1" t="n">
        <v>46300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46300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46300</v>
      </c>
      <c r="F434" t="inlineStr">
        <is>
          <t>VÄSTRA GÖTALANDS LÄN</t>
        </is>
      </c>
      <c r="G434" t="inlineStr">
        <is>
          <t>MARK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46300</v>
      </c>
      <c r="F435" t="inlineStr">
        <is>
          <t>VÄSTRA GÖTALANDS LÄN</t>
        </is>
      </c>
      <c r="G435" t="inlineStr">
        <is>
          <t>MARK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44950</v>
      </c>
      <c r="E436" s="1" t="n">
        <v>46300</v>
      </c>
      <c r="F436" t="inlineStr">
        <is>
          <t>VÄSTRA GÖTALANDS LÄN</t>
        </is>
      </c>
      <c r="G436" t="inlineStr">
        <is>
          <t>MARK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46300</v>
      </c>
      <c r="F437" t="inlineStr">
        <is>
          <t>VÄSTRA GÖTALANDS LÄN</t>
        </is>
      </c>
      <c r="G437" t="inlineStr">
        <is>
          <t>MARK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45029</v>
      </c>
      <c r="E438" s="1" t="n">
        <v>46300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45029</v>
      </c>
      <c r="E439" s="1" t="n">
        <v>46300</v>
      </c>
      <c r="F439" t="inlineStr">
        <is>
          <t>VÄSTRA GÖTALANDS LÄN</t>
        </is>
      </c>
      <c r="G439" t="inlineStr">
        <is>
          <t>MARK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46300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46300</v>
      </c>
      <c r="F441" t="inlineStr">
        <is>
          <t>VÄSTRA GÖTALANDS LÄN</t>
        </is>
      </c>
      <c r="G441" t="inlineStr">
        <is>
          <t>MARK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45419</v>
      </c>
      <c r="E442" s="1" t="n">
        <v>46300</v>
      </c>
      <c r="F442" t="inlineStr">
        <is>
          <t>VÄSTRA GÖTALANDS LÄN</t>
        </is>
      </c>
      <c r="G442" t="inlineStr">
        <is>
          <t>MARK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44944</v>
      </c>
      <c r="E443" s="1" t="n">
        <v>46300</v>
      </c>
      <c r="F443" t="inlineStr">
        <is>
          <t>VÄSTRA GÖTALANDS LÄN</t>
        </is>
      </c>
      <c r="G443" t="inlineStr">
        <is>
          <t>MARK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46300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44904</v>
      </c>
      <c r="E445" s="1" t="n">
        <v>46300</v>
      </c>
      <c r="F445" t="inlineStr">
        <is>
          <t>VÄSTRA GÖTALANDS LÄN</t>
        </is>
      </c>
      <c r="G445" t="inlineStr">
        <is>
          <t>MARK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45872</v>
      </c>
      <c r="E446" s="1" t="n">
        <v>46300</v>
      </c>
      <c r="F446" t="inlineStr">
        <is>
          <t>VÄSTRA GÖTALANDS LÄN</t>
        </is>
      </c>
      <c r="G446" t="inlineStr">
        <is>
          <t>MARK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51497-2022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44869</v>
      </c>
      <c r="E447" s="1" t="n">
        <v>46300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46300</v>
      </c>
      <c r="F448" t="inlineStr">
        <is>
          <t>VÄSTRA GÖTALANDS LÄN</t>
        </is>
      </c>
      <c r="G448" t="inlineStr">
        <is>
          <t>MARK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46300</v>
      </c>
      <c r="F449" t="inlineStr">
        <is>
          <t>VÄSTRA GÖTALANDS LÄN</t>
        </is>
      </c>
      <c r="G449" t="inlineStr">
        <is>
          <t>MARK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45137</v>
      </c>
      <c r="E450" s="1" t="n">
        <v>46300</v>
      </c>
      <c r="F450" t="inlineStr">
        <is>
          <t>VÄSTRA GÖTALANDS LÄN</t>
        </is>
      </c>
      <c r="G450" t="inlineStr">
        <is>
          <t>MARK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46300</v>
      </c>
      <c r="F451" t="inlineStr">
        <is>
          <t>VÄSTRA GÖTALANDS LÄN</t>
        </is>
      </c>
      <c r="G451" t="inlineStr">
        <is>
          <t>MARK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45442</v>
      </c>
      <c r="E452" s="1" t="n">
        <v>46300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46300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45268</v>
      </c>
      <c r="E454" s="1" t="n">
        <v>46300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46300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Kommuner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37060-2025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45875</v>
      </c>
      <c r="E456" s="1" t="n">
        <v>46300</v>
      </c>
      <c r="F456" t="inlineStr">
        <is>
          <t>VÄSTRA GÖTALANDS LÄN</t>
        </is>
      </c>
      <c r="G456" t="inlineStr">
        <is>
          <t>MARK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46300</v>
      </c>
      <c r="F457" t="inlineStr">
        <is>
          <t>VÄSTRA GÖTALANDS LÄN</t>
        </is>
      </c>
      <c r="G457" t="inlineStr">
        <is>
          <t>MARK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45392</v>
      </c>
      <c r="E458" s="1" t="n">
        <v>46300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46300</v>
      </c>
      <c r="F459" t="inlineStr">
        <is>
          <t>VÄSTRA GÖTALANDS LÄN</t>
        </is>
      </c>
      <c r="G459" t="inlineStr">
        <is>
          <t>MARK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45750</v>
      </c>
      <c r="E460" s="1" t="n">
        <v>46300</v>
      </c>
      <c r="F460" t="inlineStr">
        <is>
          <t>VÄSTRA GÖTALANDS LÄN</t>
        </is>
      </c>
      <c r="G460" t="inlineStr">
        <is>
          <t>MARK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46300</v>
      </c>
      <c r="F461" t="inlineStr">
        <is>
          <t>VÄSTRA GÖTALANDS LÄN</t>
        </is>
      </c>
      <c r="G461" t="inlineStr">
        <is>
          <t>MARK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46300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46300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45776</v>
      </c>
      <c r="E464" s="1" t="n">
        <v>46300</v>
      </c>
      <c r="F464" t="inlineStr">
        <is>
          <t>VÄSTRA GÖTALANDS LÄN</t>
        </is>
      </c>
      <c r="G464" t="inlineStr">
        <is>
          <t>MARK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46300</v>
      </c>
      <c r="F465" t="inlineStr">
        <is>
          <t>VÄSTRA GÖTALANDS LÄN</t>
        </is>
      </c>
      <c r="G465" t="inlineStr">
        <is>
          <t>MARK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45875</v>
      </c>
      <c r="E466" s="1" t="n">
        <v>46300</v>
      </c>
      <c r="F466" t="inlineStr">
        <is>
          <t>VÄSTRA GÖTALANDS LÄN</t>
        </is>
      </c>
      <c r="G466" t="inlineStr">
        <is>
          <t>MARK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23410-2026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46162</v>
      </c>
      <c r="E467" s="1" t="n">
        <v>46300</v>
      </c>
      <c r="F467" t="inlineStr">
        <is>
          <t>VÄSTRA GÖTALANDS LÄN</t>
        </is>
      </c>
      <c r="G467" t="inlineStr">
        <is>
          <t>MARK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46300</v>
      </c>
      <c r="F468" t="inlineStr">
        <is>
          <t>VÄSTRA GÖTALANDS LÄN</t>
        </is>
      </c>
      <c r="G468" t="inlineStr">
        <is>
          <t>MARK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19608-2024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45432</v>
      </c>
      <c r="E469" s="1" t="n">
        <v>46300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Sveaskog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45419</v>
      </c>
      <c r="E470" s="1" t="n">
        <v>46300</v>
      </c>
      <c r="F470" t="inlineStr">
        <is>
          <t>VÄSTRA GÖTALANDS LÄN</t>
        </is>
      </c>
      <c r="G470" t="inlineStr">
        <is>
          <t>MARK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31044-2022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44768</v>
      </c>
      <c r="E471" s="1" t="n">
        <v>46300</v>
      </c>
      <c r="F471" t="inlineStr">
        <is>
          <t>VÄSTRA GÖTALANDS LÄN</t>
        </is>
      </c>
      <c r="G471" t="inlineStr">
        <is>
          <t>MARK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46300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46300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17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45533</v>
      </c>
      <c r="E474" s="1" t="n">
        <v>46300</v>
      </c>
      <c r="F474" t="inlineStr">
        <is>
          <t>VÄSTRA GÖTALANDS LÄN</t>
        </is>
      </c>
      <c r="G474" t="inlineStr">
        <is>
          <t>MARK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46300</v>
      </c>
      <c r="F475" t="inlineStr">
        <is>
          <t>VÄSTRA GÖTALANDS LÄN</t>
        </is>
      </c>
      <c r="G475" t="inlineStr">
        <is>
          <t>MARK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46300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46300</v>
      </c>
      <c r="F477" t="inlineStr">
        <is>
          <t>VÄSTRA GÖTALANDS LÄN</t>
        </is>
      </c>
      <c r="G477" t="inlineStr">
        <is>
          <t>MARK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46300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46300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46300</v>
      </c>
      <c r="F480" t="inlineStr">
        <is>
          <t>VÄSTRA GÖTALANDS LÄN</t>
        </is>
      </c>
      <c r="G480" t="inlineStr">
        <is>
          <t>MARK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46300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45855</v>
      </c>
      <c r="E482" s="1" t="n">
        <v>46300</v>
      </c>
      <c r="F482" t="inlineStr">
        <is>
          <t>VÄSTRA GÖTALANDS LÄN</t>
        </is>
      </c>
      <c r="G482" t="inlineStr">
        <is>
          <t>MARK</t>
        </is>
      </c>
      <c r="I482" t="n">
        <v>13.2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46300</v>
      </c>
      <c r="F483" t="inlineStr">
        <is>
          <t>VÄSTRA GÖTALANDS LÄN</t>
        </is>
      </c>
      <c r="G483" t="inlineStr">
        <is>
          <t>MARK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46300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36287-2022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44803</v>
      </c>
      <c r="E485" s="1" t="n">
        <v>46300</v>
      </c>
      <c r="F485" t="inlineStr">
        <is>
          <t>VÄSTRA GÖTALANDS LÄN</t>
        </is>
      </c>
      <c r="G485" t="inlineStr">
        <is>
          <t>MARK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59004-2021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44489</v>
      </c>
      <c r="E486" s="1" t="n">
        <v>46300</v>
      </c>
      <c r="F486" t="inlineStr">
        <is>
          <t>VÄSTRA GÖTALANDS LÄN</t>
        </is>
      </c>
      <c r="G486" t="inlineStr">
        <is>
          <t>MARK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44971</v>
      </c>
      <c r="E487" s="1" t="n">
        <v>46300</v>
      </c>
      <c r="F487" t="inlineStr">
        <is>
          <t>VÄSTRA GÖTALANDS LÄN</t>
        </is>
      </c>
      <c r="G487" t="inlineStr">
        <is>
          <t>MARK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46300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46300</v>
      </c>
      <c r="F489" t="inlineStr">
        <is>
          <t>VÄSTRA GÖTALANDS LÄN</t>
        </is>
      </c>
      <c r="G489" t="inlineStr">
        <is>
          <t>MARK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46300</v>
      </c>
      <c r="F490" t="inlineStr">
        <is>
          <t>VÄSTRA GÖTALANDS LÄN</t>
        </is>
      </c>
      <c r="G490" t="inlineStr">
        <is>
          <t>MARK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44834</v>
      </c>
      <c r="E491" s="1" t="n">
        <v>46300</v>
      </c>
      <c r="F491" t="inlineStr">
        <is>
          <t>VÄSTRA GÖTALANDS LÄN</t>
        </is>
      </c>
      <c r="G491" t="inlineStr">
        <is>
          <t>MARK</t>
        </is>
      </c>
      <c r="I491" t="n">
        <v>12.5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46300</v>
      </c>
      <c r="F492" t="inlineStr">
        <is>
          <t>VÄSTRA GÖTALANDS LÄN</t>
        </is>
      </c>
      <c r="G492" t="inlineStr">
        <is>
          <t>MARK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36786-2023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45154</v>
      </c>
      <c r="E493" s="1" t="n">
        <v>46300</v>
      </c>
      <c r="F493" t="inlineStr">
        <is>
          <t>VÄSTRA GÖTALANDS LÄN</t>
        </is>
      </c>
      <c r="G493" t="inlineStr">
        <is>
          <t>MARK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46300</v>
      </c>
      <c r="F494" t="inlineStr">
        <is>
          <t>VÄSTRA GÖTALANDS LÄN</t>
        </is>
      </c>
      <c r="G494" t="inlineStr">
        <is>
          <t>MARK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27675-2026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46190</v>
      </c>
      <c r="E495" s="1" t="n">
        <v>46300</v>
      </c>
      <c r="F495" t="inlineStr">
        <is>
          <t>VÄSTRA GÖTALANDS LÄN</t>
        </is>
      </c>
      <c r="G495" t="inlineStr">
        <is>
          <t>MARK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46300</v>
      </c>
      <c r="F496" t="inlineStr">
        <is>
          <t>VÄSTRA GÖTALANDS LÄN</t>
        </is>
      </c>
      <c r="G496" t="inlineStr">
        <is>
          <t>MARK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46300</v>
      </c>
      <c r="F497" t="inlineStr">
        <is>
          <t>VÄSTRA GÖTALANDS LÄN</t>
        </is>
      </c>
      <c r="G497" t="inlineStr">
        <is>
          <t>MARK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45552</v>
      </c>
      <c r="E498" s="1" t="n">
        <v>46300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46300</v>
      </c>
      <c r="F499" t="inlineStr">
        <is>
          <t>VÄSTRA GÖTALANDS LÄN</t>
        </is>
      </c>
      <c r="G499" t="inlineStr">
        <is>
          <t>MARK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46300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46300</v>
      </c>
      <c r="F501" t="inlineStr">
        <is>
          <t>VÄSTRA GÖTALANDS LÄN</t>
        </is>
      </c>
      <c r="G501" t="inlineStr">
        <is>
          <t>MARK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46300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28086-2026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46195</v>
      </c>
      <c r="E503" s="1" t="n">
        <v>46300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45137</v>
      </c>
      <c r="E504" s="1" t="n">
        <v>46300</v>
      </c>
      <c r="F504" t="inlineStr">
        <is>
          <t>VÄSTRA GÖTALANDS LÄN</t>
        </is>
      </c>
      <c r="G504" t="inlineStr">
        <is>
          <t>MARK</t>
        </is>
      </c>
      <c r="I504" t="n">
        <v>12.2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46195</v>
      </c>
      <c r="E505" s="1" t="n">
        <v>46300</v>
      </c>
      <c r="F505" t="inlineStr">
        <is>
          <t>VÄSTRA GÖTALANDS LÄN</t>
        </is>
      </c>
      <c r="G505" t="inlineStr">
        <is>
          <t>MARK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46300</v>
      </c>
      <c r="F506" t="inlineStr">
        <is>
          <t>VÄSTRA GÖTALANDS LÄN</t>
        </is>
      </c>
      <c r="G506" t="inlineStr">
        <is>
          <t>MARK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46300</v>
      </c>
      <c r="F507" t="inlineStr">
        <is>
          <t>VÄSTRA GÖTALANDS LÄN</t>
        </is>
      </c>
      <c r="G507" t="inlineStr">
        <is>
          <t>MARK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46300</v>
      </c>
      <c r="F508" t="inlineStr">
        <is>
          <t>VÄSTRA GÖTALANDS LÄN</t>
        </is>
      </c>
      <c r="G508" t="inlineStr">
        <is>
          <t>MARK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46300</v>
      </c>
      <c r="F509" t="inlineStr">
        <is>
          <t>VÄSTRA GÖTALANDS LÄN</t>
        </is>
      </c>
      <c r="G509" t="inlineStr">
        <is>
          <t>MARK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46300</v>
      </c>
      <c r="F510" t="inlineStr">
        <is>
          <t>VÄSTRA GÖTALANDS LÄN</t>
        </is>
      </c>
      <c r="G510" t="inlineStr">
        <is>
          <t>MARK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46300</v>
      </c>
      <c r="F511" t="inlineStr">
        <is>
          <t>VÄSTRA GÖTALANDS LÄN</t>
        </is>
      </c>
      <c r="G511" t="inlineStr">
        <is>
          <t>MARK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46300</v>
      </c>
      <c r="F512" t="inlineStr">
        <is>
          <t>VÄSTRA GÖTALANDS LÄN</t>
        </is>
      </c>
      <c r="G512" t="inlineStr">
        <is>
          <t>MARK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46300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Kommuner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46300</v>
      </c>
      <c r="F514" t="inlineStr">
        <is>
          <t>VÄSTRA GÖTALANDS LÄN</t>
        </is>
      </c>
      <c r="G514" t="inlineStr">
        <is>
          <t>MARK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45154</v>
      </c>
      <c r="E515" s="1" t="n">
        <v>46300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44660</v>
      </c>
      <c r="E516" s="1" t="n">
        <v>46300</v>
      </c>
      <c r="F516" t="inlineStr">
        <is>
          <t>VÄSTRA GÖTALANDS LÄN</t>
        </is>
      </c>
      <c r="G516" t="inlineStr">
        <is>
          <t>MARK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46300</v>
      </c>
      <c r="F517" t="inlineStr">
        <is>
          <t>VÄSTRA GÖTALANDS LÄN</t>
        </is>
      </c>
      <c r="G517" t="inlineStr">
        <is>
          <t>MARK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46300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46300</v>
      </c>
      <c r="F519" t="inlineStr">
        <is>
          <t>VÄSTRA GÖTALANDS LÄN</t>
        </is>
      </c>
      <c r="G519" t="inlineStr">
        <is>
          <t>MARK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25560-2022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44732</v>
      </c>
      <c r="E520" s="1" t="n">
        <v>46300</v>
      </c>
      <c r="F520" t="inlineStr">
        <is>
          <t>VÄSTRA GÖTALANDS LÄN</t>
        </is>
      </c>
      <c r="G520" t="inlineStr">
        <is>
          <t>MARK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45021</v>
      </c>
      <c r="E521" s="1" t="n">
        <v>46300</v>
      </c>
      <c r="F521" t="inlineStr">
        <is>
          <t>VÄSTRA GÖTALANDS LÄN</t>
        </is>
      </c>
      <c r="G521" t="inlineStr">
        <is>
          <t>MARK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46300</v>
      </c>
      <c r="F522" t="inlineStr">
        <is>
          <t>VÄSTRA GÖTALANDS LÄN</t>
        </is>
      </c>
      <c r="G522" t="inlineStr">
        <is>
          <t>MARK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63590-2023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46300</v>
      </c>
      <c r="F523" t="inlineStr">
        <is>
          <t>VÄSTRA GÖTALANDS LÄN</t>
        </is>
      </c>
      <c r="G523" t="inlineStr">
        <is>
          <t>MARK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46300</v>
      </c>
      <c r="F524" t="inlineStr">
        <is>
          <t>VÄSTRA GÖTALANDS LÄN</t>
        </is>
      </c>
      <c r="G524" t="inlineStr">
        <is>
          <t>MARK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46300</v>
      </c>
      <c r="F525" t="inlineStr">
        <is>
          <t>VÄSTRA GÖTALANDS LÄN</t>
        </is>
      </c>
      <c r="G525" t="inlineStr">
        <is>
          <t>MARK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46300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46300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44963</v>
      </c>
      <c r="E528" s="1" t="n">
        <v>46300</v>
      </c>
      <c r="F528" t="inlineStr">
        <is>
          <t>VÄSTRA GÖTALANDS LÄN</t>
        </is>
      </c>
      <c r="G528" t="inlineStr">
        <is>
          <t>MARK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46300</v>
      </c>
      <c r="F529" t="inlineStr">
        <is>
          <t>VÄSTRA GÖTALANDS LÄN</t>
        </is>
      </c>
      <c r="G529" t="inlineStr">
        <is>
          <t>MARK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46300</v>
      </c>
      <c r="F530" t="inlineStr">
        <is>
          <t>VÄSTRA GÖTALANDS LÄN</t>
        </is>
      </c>
      <c r="G530" t="inlineStr">
        <is>
          <t>MARK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46300</v>
      </c>
      <c r="F531" t="inlineStr">
        <is>
          <t>VÄSTRA GÖTALANDS LÄN</t>
        </is>
      </c>
      <c r="G531" t="inlineStr">
        <is>
          <t>MARK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45379</v>
      </c>
      <c r="E532" s="1" t="n">
        <v>46300</v>
      </c>
      <c r="F532" t="inlineStr">
        <is>
          <t>VÄSTRA GÖTALANDS LÄN</t>
        </is>
      </c>
      <c r="G532" t="inlineStr">
        <is>
          <t>MARK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46300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46300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46300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46300</v>
      </c>
      <c r="F536" t="inlineStr">
        <is>
          <t>VÄSTRA GÖTALANDS LÄN</t>
        </is>
      </c>
      <c r="G536" t="inlineStr">
        <is>
          <t>MARK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46300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46300</v>
      </c>
      <c r="F538" t="inlineStr">
        <is>
          <t>VÄSTRA GÖTALANDS LÄN</t>
        </is>
      </c>
      <c r="G538" t="inlineStr">
        <is>
          <t>MARK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46300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46300</v>
      </c>
      <c r="F540" t="inlineStr">
        <is>
          <t>VÄSTRA GÖTALANDS LÄN</t>
        </is>
      </c>
      <c r="G540" t="inlineStr">
        <is>
          <t>MARK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44813</v>
      </c>
      <c r="E541" s="1" t="n">
        <v>46300</v>
      </c>
      <c r="F541" t="inlineStr">
        <is>
          <t>VÄSTRA GÖTALANDS LÄN</t>
        </is>
      </c>
      <c r="G541" t="inlineStr">
        <is>
          <t>MARK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46300</v>
      </c>
      <c r="F542" t="inlineStr">
        <is>
          <t>VÄSTRA GÖTALANDS LÄN</t>
        </is>
      </c>
      <c r="G542" t="inlineStr">
        <is>
          <t>MARK</t>
        </is>
      </c>
      <c r="H542" t="inlineStr">
        <is>
          <t>Kyrkan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46269</v>
      </c>
      <c r="E543" s="1" t="n">
        <v>46300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44909</v>
      </c>
      <c r="E544" s="1" t="n">
        <v>46300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46273</v>
      </c>
      <c r="E545" s="1" t="n">
        <v>46300</v>
      </c>
      <c r="F545" t="inlineStr">
        <is>
          <t>VÄSTRA GÖTALANDS LÄN</t>
        </is>
      </c>
      <c r="G545" t="inlineStr">
        <is>
          <t>MARK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46300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46300</v>
      </c>
      <c r="F547" t="inlineStr">
        <is>
          <t>VÄSTRA GÖTALANDS LÄN</t>
        </is>
      </c>
      <c r="G547" t="inlineStr">
        <is>
          <t>MARK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45672</v>
      </c>
      <c r="E548" s="1" t="n">
        <v>46300</v>
      </c>
      <c r="F548" t="inlineStr">
        <is>
          <t>VÄSTRA GÖTALANDS LÄN</t>
        </is>
      </c>
      <c r="G548" t="inlineStr">
        <is>
          <t>MARK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44637</v>
      </c>
      <c r="E549" s="1" t="n">
        <v>46300</v>
      </c>
      <c r="F549" t="inlineStr">
        <is>
          <t>VÄSTRA GÖTALANDS LÄN</t>
        </is>
      </c>
      <c r="G549" t="inlineStr">
        <is>
          <t>MARK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46300</v>
      </c>
      <c r="F550" t="inlineStr">
        <is>
          <t>VÄSTRA GÖTALANDS LÄN</t>
        </is>
      </c>
      <c r="G550" t="inlineStr">
        <is>
          <t>MARK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46274</v>
      </c>
      <c r="E551" s="1" t="n">
        <v>46300</v>
      </c>
      <c r="F551" t="inlineStr">
        <is>
          <t>VÄSTRA GÖTALANDS LÄN</t>
        </is>
      </c>
      <c r="G551" t="inlineStr">
        <is>
          <t>MARK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46231</v>
      </c>
      <c r="E552" s="1" t="n">
        <v>46300</v>
      </c>
      <c r="F552" t="inlineStr">
        <is>
          <t>VÄSTRA GÖTALANDS LÄN</t>
        </is>
      </c>
      <c r="G552" t="inlineStr">
        <is>
          <t>MARK</t>
        </is>
      </c>
      <c r="H552" t="inlineStr">
        <is>
          <t>Kyrkan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46233</v>
      </c>
      <c r="E553" s="1" t="n">
        <v>46300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49108-2023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45210</v>
      </c>
      <c r="E554" s="1" t="n">
        <v>46300</v>
      </c>
      <c r="F554" t="inlineStr">
        <is>
          <t>VÄSTRA GÖTALANDS LÄN</t>
        </is>
      </c>
      <c r="G554" t="inlineStr">
        <is>
          <t>MARK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46300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46300</v>
      </c>
      <c r="F556" t="inlineStr">
        <is>
          <t>VÄSTRA GÖTALANDS LÄN</t>
        </is>
      </c>
      <c r="G556" t="inlineStr">
        <is>
          <t>MARK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46300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46300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32024-2026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46233</v>
      </c>
      <c r="E559" s="1" t="n">
        <v>46300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46232</v>
      </c>
      <c r="E560" s="1" t="n">
        <v>46300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Kyrkan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46233</v>
      </c>
      <c r="E561" s="1" t="n">
        <v>46300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46300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46300</v>
      </c>
      <c r="F563" t="inlineStr">
        <is>
          <t>VÄSTRA GÖTALANDS LÄN</t>
        </is>
      </c>
      <c r="G563" t="inlineStr">
        <is>
          <t>MARK</t>
        </is>
      </c>
      <c r="I563" t="n">
        <v>11.4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55842-2023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45233</v>
      </c>
      <c r="E564" s="1" t="n">
        <v>46300</v>
      </c>
      <c r="F564" t="inlineStr">
        <is>
          <t>VÄSTRA GÖTALANDS LÄN</t>
        </is>
      </c>
      <c r="G564" t="inlineStr">
        <is>
          <t>MARK</t>
        </is>
      </c>
      <c r="H564" t="inlineStr">
        <is>
          <t>Sveaskog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46300</v>
      </c>
      <c r="F565" t="inlineStr">
        <is>
          <t>VÄSTRA GÖTALANDS LÄN</t>
        </is>
      </c>
      <c r="G565" t="inlineStr">
        <is>
          <t>MARK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54374-2023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45233</v>
      </c>
      <c r="E566" s="1" t="n">
        <v>46300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46237</v>
      </c>
      <c r="E567" s="1" t="n">
        <v>46300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32240-2026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46237</v>
      </c>
      <c r="E568" s="1" t="n">
        <v>46300</v>
      </c>
      <c r="F568" t="inlineStr">
        <is>
          <t>VÄSTRA GÖTALANDS LÄN</t>
        </is>
      </c>
      <c r="G568" t="inlineStr">
        <is>
          <t>MARK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46300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45225</v>
      </c>
      <c r="E570" s="1" t="n">
        <v>46300</v>
      </c>
      <c r="F570" t="inlineStr">
        <is>
          <t>VÄSTRA GÖTALANDS LÄN</t>
        </is>
      </c>
      <c r="G570" t="inlineStr">
        <is>
          <t>MARK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45378</v>
      </c>
      <c r="E571" s="1" t="n">
        <v>46300</v>
      </c>
      <c r="F571" t="inlineStr">
        <is>
          <t>VÄSTRA GÖTALANDS LÄN</t>
        </is>
      </c>
      <c r="G571" t="inlineStr">
        <is>
          <t>MARK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45523</v>
      </c>
      <c r="E572" s="1" t="n">
        <v>46300</v>
      </c>
      <c r="F572" t="inlineStr">
        <is>
          <t>VÄSTRA GÖTALANDS LÄN</t>
        </is>
      </c>
      <c r="G572" t="inlineStr">
        <is>
          <t>MARK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46300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46300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38780-2022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44813</v>
      </c>
      <c r="E575" s="1" t="n">
        <v>46300</v>
      </c>
      <c r="F575" t="inlineStr">
        <is>
          <t>VÄSTRA GÖTALANDS LÄN</t>
        </is>
      </c>
      <c r="G575" t="inlineStr">
        <is>
          <t>MARK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46300</v>
      </c>
      <c r="F576" t="inlineStr">
        <is>
          <t>VÄSTRA GÖTALANDS LÄN</t>
        </is>
      </c>
      <c r="G576" t="inlineStr">
        <is>
          <t>MARK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46300</v>
      </c>
      <c r="F577" t="inlineStr">
        <is>
          <t>VÄSTRA GÖTALANDS LÄN</t>
        </is>
      </c>
      <c r="G577" t="inlineStr">
        <is>
          <t>MARK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46300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46300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69264-2021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44531</v>
      </c>
      <c r="E580" s="1" t="n">
        <v>46300</v>
      </c>
      <c r="F580" t="inlineStr">
        <is>
          <t>VÄSTRA GÖTALANDS LÄN</t>
        </is>
      </c>
      <c r="G580" t="inlineStr">
        <is>
          <t>MARK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46300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46300</v>
      </c>
      <c r="F582" t="inlineStr">
        <is>
          <t>VÄSTRA GÖTALANDS LÄN</t>
        </is>
      </c>
      <c r="G582" t="inlineStr">
        <is>
          <t>MARK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46300</v>
      </c>
      <c r="F583" t="inlineStr">
        <is>
          <t>VÄSTRA GÖTALANDS LÄN</t>
        </is>
      </c>
      <c r="G583" t="inlineStr">
        <is>
          <t>MARK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45373</v>
      </c>
      <c r="E584" s="1" t="n">
        <v>46300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45070</v>
      </c>
      <c r="E585" s="1" t="n">
        <v>46300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46300</v>
      </c>
      <c r="F586" t="inlineStr">
        <is>
          <t>VÄSTRA GÖTALANDS LÄN</t>
        </is>
      </c>
      <c r="G586" t="inlineStr">
        <is>
          <t>MARK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46300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45370</v>
      </c>
      <c r="E588" s="1" t="n">
        <v>46300</v>
      </c>
      <c r="F588" t="inlineStr">
        <is>
          <t>VÄSTRA GÖTALANDS LÄN</t>
        </is>
      </c>
      <c r="G588" t="inlineStr">
        <is>
          <t>MARK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45710</v>
      </c>
      <c r="E589" s="1" t="n">
        <v>46300</v>
      </c>
      <c r="F589" t="inlineStr">
        <is>
          <t>VÄSTRA GÖTALANDS LÄN</t>
        </is>
      </c>
      <c r="G589" t="inlineStr">
        <is>
          <t>MARK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46300</v>
      </c>
      <c r="F590" t="inlineStr">
        <is>
          <t>VÄSTRA GÖTALANDS LÄN</t>
        </is>
      </c>
      <c r="G590" t="inlineStr">
        <is>
          <t>MARK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57605-2022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46300</v>
      </c>
      <c r="F591" t="inlineStr">
        <is>
          <t>VÄSTRA GÖTALANDS LÄN</t>
        </is>
      </c>
      <c r="G591" t="inlineStr">
        <is>
          <t>MARK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45202</v>
      </c>
      <c r="E592" s="1" t="n">
        <v>46300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54226-2022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44881</v>
      </c>
      <c r="E593" s="1" t="n">
        <v>46300</v>
      </c>
      <c r="F593" t="inlineStr">
        <is>
          <t>VÄSTRA GÖTALANDS LÄN</t>
        </is>
      </c>
      <c r="G593" t="inlineStr">
        <is>
          <t>MARK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45156</v>
      </c>
      <c r="E594" s="1" t="n">
        <v>46300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41136-2025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45898</v>
      </c>
      <c r="E595" s="1" t="n">
        <v>46300</v>
      </c>
      <c r="F595" t="inlineStr">
        <is>
          <t>VÄSTRA GÖTALANDS LÄN</t>
        </is>
      </c>
      <c r="G595" t="inlineStr">
        <is>
          <t>MARK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10669-2024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45369</v>
      </c>
      <c r="E596" s="1" t="n">
        <v>46300</v>
      </c>
      <c r="F596" t="inlineStr">
        <is>
          <t>VÄSTRA GÖTALANDS LÄN</t>
        </is>
      </c>
      <c r="G596" t="inlineStr">
        <is>
          <t>MARK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16710-2022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44673</v>
      </c>
      <c r="E597" s="1" t="n">
        <v>46300</v>
      </c>
      <c r="F597" t="inlineStr">
        <is>
          <t>VÄSTRA GÖTALANDS LÄN</t>
        </is>
      </c>
      <c r="G597" t="inlineStr">
        <is>
          <t>MARK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45629</v>
      </c>
      <c r="E598" s="1" t="n">
        <v>46300</v>
      </c>
      <c r="F598" t="inlineStr">
        <is>
          <t>VÄSTRA GÖTALANDS LÄN</t>
        </is>
      </c>
      <c r="G598" t="inlineStr">
        <is>
          <t>MARK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64740-2023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46300</v>
      </c>
      <c r="F599" t="inlineStr">
        <is>
          <t>VÄSTRA GÖTALANDS LÄN</t>
        </is>
      </c>
      <c r="G599" t="inlineStr">
        <is>
          <t>MARK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46300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45134</v>
      </c>
      <c r="E601" s="1" t="n">
        <v>46300</v>
      </c>
      <c r="F601" t="inlineStr">
        <is>
          <t>VÄSTRA GÖTALANDS LÄN</t>
        </is>
      </c>
      <c r="G601" t="inlineStr">
        <is>
          <t>MARK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28285-2023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45099</v>
      </c>
      <c r="E602" s="1" t="n">
        <v>46300</v>
      </c>
      <c r="F602" t="inlineStr">
        <is>
          <t>VÄSTRA GÖTALANDS LÄN</t>
        </is>
      </c>
      <c r="G602" t="inlineStr">
        <is>
          <t>MARK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45474</v>
      </c>
      <c r="E603" s="1" t="n">
        <v>46300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Kommuner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45569</v>
      </c>
      <c r="E604" s="1" t="n">
        <v>46300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45415</v>
      </c>
      <c r="E605" s="1" t="n">
        <v>46300</v>
      </c>
      <c r="F605" t="inlineStr">
        <is>
          <t>VÄSTRA GÖTALANDS LÄN</t>
        </is>
      </c>
      <c r="G605" t="inlineStr">
        <is>
          <t>MARK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46295</v>
      </c>
      <c r="E606" s="1" t="n">
        <v>46300</v>
      </c>
      <c r="F606" t="inlineStr">
        <is>
          <t>VÄSTRA GÖTALANDS LÄN</t>
        </is>
      </c>
      <c r="G606" t="inlineStr">
        <is>
          <t>MARK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46300</v>
      </c>
      <c r="F607" t="inlineStr">
        <is>
          <t>VÄSTRA GÖTALANDS LÄN</t>
        </is>
      </c>
      <c r="G607" t="inlineStr">
        <is>
          <t>MARK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46300</v>
      </c>
      <c r="F608" t="inlineStr">
        <is>
          <t>VÄSTRA GÖTALANDS LÄN</t>
        </is>
      </c>
      <c r="G608" t="inlineStr">
        <is>
          <t>MARK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46300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44249-2023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46300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26945-2023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46300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44869</v>
      </c>
      <c r="E612" s="1" t="n">
        <v>46300</v>
      </c>
      <c r="F612" t="inlineStr">
        <is>
          <t>VÄSTRA GÖTALANDS LÄN</t>
        </is>
      </c>
      <c r="G612" t="inlineStr">
        <is>
          <t>MARK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4360-2022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44589</v>
      </c>
      <c r="E613" s="1" t="n">
        <v>46300</v>
      </c>
      <c r="F613" t="inlineStr">
        <is>
          <t>VÄSTRA GÖTALANDS LÄN</t>
        </is>
      </c>
      <c r="G613" t="inlineStr">
        <is>
          <t>MARK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45030</v>
      </c>
      <c r="E614" s="1" t="n">
        <v>46300</v>
      </c>
      <c r="F614" t="inlineStr">
        <is>
          <t>VÄSTRA GÖTALANDS LÄN</t>
        </is>
      </c>
      <c r="G614" t="inlineStr">
        <is>
          <t>MARK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45379</v>
      </c>
      <c r="E615" s="1" t="n">
        <v>46300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27691-2024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45475</v>
      </c>
      <c r="E616" s="1" t="n">
        <v>46300</v>
      </c>
      <c r="F616" t="inlineStr">
        <is>
          <t>VÄSTRA GÖTALANDS LÄN</t>
        </is>
      </c>
      <c r="G616" t="inlineStr">
        <is>
          <t>MARK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44652</v>
      </c>
      <c r="E617" s="1" t="n">
        <v>46300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63365-2023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45274</v>
      </c>
      <c r="E618" s="1" t="n">
        <v>46300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46300</v>
      </c>
      <c r="F619" t="inlineStr">
        <is>
          <t>VÄSTRA GÖTALANDS LÄN</t>
        </is>
      </c>
      <c r="G619" t="inlineStr">
        <is>
          <t>MARK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10890-2024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45370</v>
      </c>
      <c r="E620" s="1" t="n">
        <v>46300</v>
      </c>
      <c r="F620" t="inlineStr">
        <is>
          <t>VÄSTRA GÖTALANDS LÄN</t>
        </is>
      </c>
      <c r="G620" t="inlineStr">
        <is>
          <t>MARK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55689-2022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44888</v>
      </c>
      <c r="E621" s="1" t="n">
        <v>46300</v>
      </c>
      <c r="F621" t="inlineStr">
        <is>
          <t>VÄSTRA GÖTALANDS LÄN</t>
        </is>
      </c>
      <c r="G621" t="inlineStr">
        <is>
          <t>MARK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46300</v>
      </c>
      <c r="F622" t="inlineStr">
        <is>
          <t>VÄSTRA GÖTALANDS LÄN</t>
        </is>
      </c>
      <c r="G622" t="inlineStr">
        <is>
          <t>MARK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9496-2024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45359</v>
      </c>
      <c r="E623" s="1" t="n">
        <v>46300</v>
      </c>
      <c r="F623" t="inlineStr">
        <is>
          <t>VÄSTRA GÖTALANDS LÄN</t>
        </is>
      </c>
      <c r="G623" t="inlineStr">
        <is>
          <t>MARK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9504-2024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45359</v>
      </c>
      <c r="E624" s="1" t="n">
        <v>46300</v>
      </c>
      <c r="F624" t="inlineStr">
        <is>
          <t>VÄSTRA GÖTALANDS LÄN</t>
        </is>
      </c>
      <c r="G624" t="inlineStr">
        <is>
          <t>MARK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46300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18593-2025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46300</v>
      </c>
      <c r="F626" t="inlineStr">
        <is>
          <t>VÄSTRA GÖTALANDS LÄN</t>
        </is>
      </c>
      <c r="G626" t="inlineStr">
        <is>
          <t>MARK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46296</v>
      </c>
      <c r="E627" s="1" t="n">
        <v>46300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18600-2025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45763</v>
      </c>
      <c r="E628" s="1" t="n">
        <v>46300</v>
      </c>
      <c r="F628" t="inlineStr">
        <is>
          <t>VÄSTRA GÖTALANDS LÄN</t>
        </is>
      </c>
      <c r="G628" t="inlineStr">
        <is>
          <t>MARK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45490</v>
      </c>
      <c r="E629" s="1" t="n">
        <v>46300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46300</v>
      </c>
      <c r="F630" t="inlineStr">
        <is>
          <t>VÄSTRA GÖTALANDS LÄN</t>
        </is>
      </c>
      <c r="G630" t="inlineStr">
        <is>
          <t>MARK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36305-2024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46300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62573-2022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44924</v>
      </c>
      <c r="E632" s="1" t="n">
        <v>46300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45631</v>
      </c>
      <c r="E633" s="1" t="n">
        <v>46300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59156-2023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46300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45119</v>
      </c>
      <c r="E635" s="1" t="n">
        <v>46300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45565</v>
      </c>
      <c r="E636" s="1" t="n">
        <v>46300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45332</v>
      </c>
      <c r="E637" s="1" t="n">
        <v>46300</v>
      </c>
      <c r="F637" t="inlineStr">
        <is>
          <t>VÄSTRA GÖTALANDS LÄN</t>
        </is>
      </c>
      <c r="G637" t="inlineStr">
        <is>
          <t>MARK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49282-2023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46300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46300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52673-2023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45219</v>
      </c>
      <c r="E640" s="1" t="n">
        <v>46300</v>
      </c>
      <c r="F640" t="inlineStr">
        <is>
          <t>VÄSTRA GÖTALANDS LÄN</t>
        </is>
      </c>
      <c r="G640" t="inlineStr">
        <is>
          <t>MARK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46300</v>
      </c>
      <c r="F641" t="inlineStr">
        <is>
          <t>VÄSTRA GÖTALANDS LÄN</t>
        </is>
      </c>
      <c r="G641" t="inlineStr">
        <is>
          <t>MARK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30272-2024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45490</v>
      </c>
      <c r="E642" s="1" t="n">
        <v>46300</v>
      </c>
      <c r="F642" t="inlineStr">
        <is>
          <t>VÄSTRA GÖTALANDS LÄN</t>
        </is>
      </c>
      <c r="G642" t="inlineStr">
        <is>
          <t>MARK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35728-2023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46300</v>
      </c>
      <c r="F643" t="inlineStr">
        <is>
          <t>VÄSTRA GÖTALANDS LÄN</t>
        </is>
      </c>
      <c r="G643" t="inlineStr">
        <is>
          <t>MARK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61010-2023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46300</v>
      </c>
      <c r="F644" t="inlineStr">
        <is>
          <t>VÄSTRA GÖTALANDS LÄN</t>
        </is>
      </c>
      <c r="G644" t="inlineStr">
        <is>
          <t>MARK</t>
        </is>
      </c>
      <c r="I644" t="n">
        <v>10.2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46300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53026-2024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45611</v>
      </c>
      <c r="E646" s="1" t="n">
        <v>46300</v>
      </c>
      <c r="F646" t="inlineStr">
        <is>
          <t>VÄSTRA GÖTALANDS LÄN</t>
        </is>
      </c>
      <c r="G646" t="inlineStr">
        <is>
          <t>MARK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45093</v>
      </c>
      <c r="E647" s="1" t="n">
        <v>46300</v>
      </c>
      <c r="F647" t="inlineStr">
        <is>
          <t>VÄSTRA GÖTALANDS LÄN</t>
        </is>
      </c>
      <c r="G647" t="inlineStr">
        <is>
          <t>MARK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46300</v>
      </c>
      <c r="F648" t="inlineStr">
        <is>
          <t>VÄSTRA GÖTALANDS LÄN</t>
        </is>
      </c>
      <c r="G648" t="inlineStr">
        <is>
          <t>MARK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46300</v>
      </c>
      <c r="F649" t="inlineStr">
        <is>
          <t>VÄSTRA GÖTALANDS LÄN</t>
        </is>
      </c>
      <c r="G649" t="inlineStr">
        <is>
          <t>MARK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44603</v>
      </c>
      <c r="E650" s="1" t="n">
        <v>46300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35726-2023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45147</v>
      </c>
      <c r="E651" s="1" t="n">
        <v>46300</v>
      </c>
      <c r="F651" t="inlineStr">
        <is>
          <t>VÄSTRA GÖTALANDS LÄN</t>
        </is>
      </c>
      <c r="G651" t="inlineStr">
        <is>
          <t>MARK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46300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44720</v>
      </c>
      <c r="E653" s="1" t="n">
        <v>46300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46300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44973</v>
      </c>
      <c r="E655" s="1" t="n">
        <v>46300</v>
      </c>
      <c r="F655" t="inlineStr">
        <is>
          <t>VÄSTRA GÖTALANDS LÄN</t>
        </is>
      </c>
      <c r="G655" t="inlineStr">
        <is>
          <t>MARK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46300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7134-2022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44603</v>
      </c>
      <c r="E657" s="1" t="n">
        <v>46300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46300</v>
      </c>
      <c r="F658" t="inlineStr">
        <is>
          <t>VÄSTRA GÖTALANDS LÄN</t>
        </is>
      </c>
      <c r="G658" t="inlineStr">
        <is>
          <t>MARK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44596</v>
      </c>
      <c r="E659" s="1" t="n">
        <v>46300</v>
      </c>
      <c r="F659" t="inlineStr">
        <is>
          <t>VÄSTRA GÖTALANDS LÄN</t>
        </is>
      </c>
      <c r="G659" t="inlineStr">
        <is>
          <t>MARK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33807-2022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44790</v>
      </c>
      <c r="E660" s="1" t="n">
        <v>46300</v>
      </c>
      <c r="F660" t="inlineStr">
        <is>
          <t>VÄSTRA GÖTALANDS LÄN</t>
        </is>
      </c>
      <c r="G660" t="inlineStr">
        <is>
          <t>MARK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45646</v>
      </c>
      <c r="E661" s="1" t="n">
        <v>46300</v>
      </c>
      <c r="F661" t="inlineStr">
        <is>
          <t>VÄSTRA GÖTALANDS LÄN</t>
        </is>
      </c>
      <c r="G661" t="inlineStr">
        <is>
          <t>MARK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44993</v>
      </c>
      <c r="E662" s="1" t="n">
        <v>46300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45572</v>
      </c>
      <c r="E663" s="1" t="n">
        <v>46300</v>
      </c>
      <c r="F663" t="inlineStr">
        <is>
          <t>VÄSTRA GÖTALANDS LÄN</t>
        </is>
      </c>
      <c r="G663" t="inlineStr">
        <is>
          <t>MARK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45377</v>
      </c>
      <c r="E664" s="1" t="n">
        <v>46300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Kyrkan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45254</v>
      </c>
      <c r="E665" s="1" t="n">
        <v>46300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46300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46300</v>
      </c>
      <c r="F667" t="inlineStr">
        <is>
          <t>VÄSTRA GÖTALANDS LÄN</t>
        </is>
      </c>
      <c r="G667" t="inlineStr">
        <is>
          <t>MARK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46300</v>
      </c>
      <c r="F668" t="inlineStr">
        <is>
          <t>VÄSTRA GÖTALANDS LÄN</t>
        </is>
      </c>
      <c r="G668" t="inlineStr">
        <is>
          <t>MARK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46300</v>
      </c>
      <c r="F669" t="inlineStr">
        <is>
          <t>VÄSTRA GÖTALANDS LÄN</t>
        </is>
      </c>
      <c r="G669" t="inlineStr">
        <is>
          <t>MARK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18701-2025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45763</v>
      </c>
      <c r="E670" s="1" t="n">
        <v>46300</v>
      </c>
      <c r="F670" t="inlineStr">
        <is>
          <t>VÄSTRA GÖTALANDS LÄN</t>
        </is>
      </c>
      <c r="G670" t="inlineStr">
        <is>
          <t>MARK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45779</v>
      </c>
      <c r="E671" s="1" t="n">
        <v>46300</v>
      </c>
      <c r="F671" t="inlineStr">
        <is>
          <t>VÄSTRA GÖTALANDS LÄN</t>
        </is>
      </c>
      <c r="G671" t="inlineStr">
        <is>
          <t>MARK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46300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46300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46300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21854-2025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45784</v>
      </c>
      <c r="E675" s="1" t="n">
        <v>46300</v>
      </c>
      <c r="F675" t="inlineStr">
        <is>
          <t>VÄSTRA GÖTALANDS LÄN</t>
        </is>
      </c>
      <c r="G675" t="inlineStr">
        <is>
          <t>MARK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46300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46300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46300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46300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46300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46300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46300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46300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46300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46300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46300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46300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46300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46300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46300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46300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2026-10-05T01:51:38Z</dcterms:created>
  <dcterms:modified xmlns:dcterms="http://purl.org/dc/terms/" xmlns:xsi="http://www.w3.org/2001/XMLSchema-instance" xsi:type="dcterms:W3CDTF">2026-10-05T01:51:38Z</dcterms:modified>
</cp:coreProperties>
</file>