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X2">
        <f>HYPERLINK("https://klasma.github.io/Logging_1463/kartor_geotiff/A 30854-2024 georefererad karta.tif", "A 30854-2024")</f>
        <v/>
      </c>
      <c r="Z2">
        <f>HYPERLINK("https://klasma.github.io/Logging_1463/klagomål/A 30854-2024 FSC-klagomål.docx", "A 30854-2024")</f>
        <v/>
      </c>
      <c r="AA2">
        <f>HYPERLINK("https://klasma.github.io/Logging_1463/klagomålsmail/A 30854-2024 FSC-klagomål mail.docx", "A 30854-2024")</f>
        <v/>
      </c>
      <c r="AB2">
        <f>HYPERLINK("https://klasma.github.io/Logging_1463/tillsyn/A 30854-2024 tillsynsbegäran.docx", "A 30854-2024")</f>
        <v/>
      </c>
      <c r="AC2">
        <f>HYPERLINK("https://klasma.github.io/Logging_1463/tillsynsmail/A 30854-2024 tillsynsbegäran mail.docx", "A 30854-2024")</f>
        <v/>
      </c>
      <c r="AD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HYPERLINK("https://klasma.github.io/Logging_1463/kartor_geotiff/A 54503-2024 georefererad karta.tif", "A 54503-2024")</f>
        <v/>
      </c>
      <c r="Y3">
        <f>HYPERLINK("https://klasma.github.io/Logging_1463/knärot/A 54503-2024 karta knärot.png", "A 54503-2024")</f>
        <v/>
      </c>
      <c r="Z3">
        <f>HYPERLINK("https://klasma.github.io/Logging_1463/klagomål/A 54503-2024 FSC-klagomål.docx", "A 54503-2024")</f>
        <v/>
      </c>
      <c r="AA3">
        <f>HYPERLINK("https://klasma.github.io/Logging_1463/klagomålsmail/A 54503-2024 FSC-klagomål mail.docx", "A 54503-2024")</f>
        <v/>
      </c>
      <c r="AB3">
        <f>HYPERLINK("https://klasma.github.io/Logging_1463/tillsyn/A 54503-2024 tillsynsbegäran.docx", "A 54503-2024")</f>
        <v/>
      </c>
      <c r="AC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46223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X4">
        <f>HYPERLINK("https://klasma.github.io/Logging_1463/kartor_geotiff/A 45174-2021 georefererad karta.tif", "A 45174-2021")</f>
        <v/>
      </c>
      <c r="Z4">
        <f>HYPERLINK("https://klasma.github.io/Logging_1463/klagomål/A 45174-2021 FSC-klagomål.docx", "A 45174-2021")</f>
        <v/>
      </c>
      <c r="AA4">
        <f>HYPERLINK("https://klasma.github.io/Logging_1463/klagomålsmail/A 45174-2021 FSC-klagomål mail.docx", "A 45174-2021")</f>
        <v/>
      </c>
      <c r="AB4">
        <f>HYPERLINK("https://klasma.github.io/Logging_1463/tillsyn/A 45174-2021 tillsynsbegäran.docx", "A 45174-2021")</f>
        <v/>
      </c>
      <c r="AC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46223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X5">
        <f>HYPERLINK("https://klasma.github.io/Logging_1463/kartor_geotiff/S 5494-2021 georefererad karta.tif", "S 5494-2021")</f>
        <v/>
      </c>
      <c r="Z5">
        <f>HYPERLINK("https://klasma.github.io/Logging_1463/klagomål/S 5494-2021 FSC-klagomål.docx", "S 5494-2021")</f>
        <v/>
      </c>
      <c r="AA5">
        <f>HYPERLINK("https://klasma.github.io/Logging_1463/klagomålsmail/S 5494-2021 FSC-klagomål mail.docx", "S 5494-2021")</f>
        <v/>
      </c>
      <c r="AB5">
        <f>HYPERLINK("https://klasma.github.io/Logging_1463/tillsyn/S 5494-2021 tillsynsbegäran.docx", "S 5494-2021")</f>
        <v/>
      </c>
      <c r="AC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46223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X6">
        <f>HYPERLINK("https://klasma.github.io/Logging_1463/kartor_geotiff/A 44445-2021 georefererad karta.tif", "A 44445-2021")</f>
        <v/>
      </c>
      <c r="Z6">
        <f>HYPERLINK("https://klasma.github.io/Logging_1463/klagomål/A 44445-2021 FSC-klagomål.docx", "A 44445-2021")</f>
        <v/>
      </c>
      <c r="AA6">
        <f>HYPERLINK("https://klasma.github.io/Logging_1463/klagomålsmail/A 44445-2021 FSC-klagomål mail.docx", "A 44445-2021")</f>
        <v/>
      </c>
      <c r="AB6">
        <f>HYPERLINK("https://klasma.github.io/Logging_1463/tillsyn/A 44445-2021 tillsynsbegäran.docx", "A 44445-2021")</f>
        <v/>
      </c>
      <c r="AC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46223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X7">
        <f>HYPERLINK("https://klasma.github.io/Logging_1463/kartor_geotiff/A 34159-2023 georefererad karta.tif", "A 34159-2023")</f>
        <v/>
      </c>
      <c r="Z7">
        <f>HYPERLINK("https://klasma.github.io/Logging_1463/klagomål/A 34159-2023 FSC-klagomål.docx", "A 34159-2023")</f>
        <v/>
      </c>
      <c r="AA7">
        <f>HYPERLINK("https://klasma.github.io/Logging_1463/klagomålsmail/A 34159-2023 FSC-klagomål mail.docx", "A 34159-2023")</f>
        <v/>
      </c>
      <c r="AB7">
        <f>HYPERLINK("https://klasma.github.io/Logging_1463/tillsyn/A 34159-2023 tillsynsbegäran.docx", "A 34159-2023")</f>
        <v/>
      </c>
      <c r="AC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46223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X8">
        <f>HYPERLINK("https://klasma.github.io/Logging_1463/kartor_geotiff/A 42644-2021 georefererad karta.tif", "A 42644-2021")</f>
        <v/>
      </c>
      <c r="Z8">
        <f>HYPERLINK("https://klasma.github.io/Logging_1463/klagomål/A 42644-2021 FSC-klagomål.docx", "A 42644-2021")</f>
        <v/>
      </c>
      <c r="AA8">
        <f>HYPERLINK("https://klasma.github.io/Logging_1463/klagomålsmail/A 42644-2021 FSC-klagomål mail.docx", "A 42644-2021")</f>
        <v/>
      </c>
      <c r="AB8">
        <f>HYPERLINK("https://klasma.github.io/Logging_1463/tillsyn/A 42644-2021 tillsynsbegäran.docx", "A 42644-2021")</f>
        <v/>
      </c>
      <c r="AC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46223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X9">
        <f>HYPERLINK("https://klasma.github.io/Logging_1463/kartor_geotiff/A 51553-2023 georefererad karta.tif", "A 51553-2023")</f>
        <v/>
      </c>
      <c r="Z9">
        <f>HYPERLINK("https://klasma.github.io/Logging_1463/klagomål/A 51553-2023 FSC-klagomål.docx", "A 51553-2023")</f>
        <v/>
      </c>
      <c r="AA9">
        <f>HYPERLINK("https://klasma.github.io/Logging_1463/klagomålsmail/A 51553-2023 FSC-klagomål mail.docx", "A 51553-2023")</f>
        <v/>
      </c>
      <c r="AB9">
        <f>HYPERLINK("https://klasma.github.io/Logging_1463/tillsyn/A 51553-2023 tillsynsbegäran.docx", "A 51553-2023")</f>
        <v/>
      </c>
      <c r="AC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46223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X10">
        <f>HYPERLINK("https://klasma.github.io/Logging_1463/kartor_geotiff/S 535-2024 georefererad karta.tif", "S 535-2024")</f>
        <v/>
      </c>
      <c r="Z10">
        <f>HYPERLINK("https://klasma.github.io/Logging_1463/klagomål/S 535-2024 FSC-klagomål.docx", "S 535-2024")</f>
        <v/>
      </c>
      <c r="AA10">
        <f>HYPERLINK("https://klasma.github.io/Logging_1463/klagomålsmail/S 535-2024 FSC-klagomål mail.docx", "S 535-2024")</f>
        <v/>
      </c>
      <c r="AB10">
        <f>HYPERLINK("https://klasma.github.io/Logging_1463/tillsyn/S 535-2024 tillsynsbegäran.docx", "S 535-2024")</f>
        <v/>
      </c>
      <c r="AC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46223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X11">
        <f>HYPERLINK("https://klasma.github.io/Logging_1463/kartor_geotiff/S 4590-2023 georefererad karta.tif", "S 4590-2023")</f>
        <v/>
      </c>
      <c r="Z11">
        <f>HYPERLINK("https://klasma.github.io/Logging_1463/klagomål/S 4590-2023 FSC-klagomål.docx", "S 4590-2023")</f>
        <v/>
      </c>
      <c r="AA11">
        <f>HYPERLINK("https://klasma.github.io/Logging_1463/klagomålsmail/S 4590-2023 FSC-klagomål mail.docx", "S 4590-2023")</f>
        <v/>
      </c>
      <c r="AB11">
        <f>HYPERLINK("https://klasma.github.io/Logging_1463/tillsyn/S 4590-2023 tillsynsbegäran.docx", "S 4590-2023")</f>
        <v/>
      </c>
      <c r="AC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46223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HYPERLINK("https://klasma.github.io/Logging_1463/kartor_geotiff/A 57572-2021 georefererad karta.tif", "A 57572-2021")</f>
        <v/>
      </c>
      <c r="Y12">
        <f>HYPERLINK("https://klasma.github.io/Logging_1463/knärot/A 57572-2021 karta knärot.png", "A 57572-2021")</f>
        <v/>
      </c>
      <c r="Z12">
        <f>HYPERLINK("https://klasma.github.io/Logging_1463/klagomål/A 57572-2021 FSC-klagomål.docx", "A 57572-2021")</f>
        <v/>
      </c>
      <c r="AA12">
        <f>HYPERLINK("https://klasma.github.io/Logging_1463/klagomålsmail/A 57572-2021 FSC-klagomål mail.docx", "A 57572-2021")</f>
        <v/>
      </c>
      <c r="AB12">
        <f>HYPERLINK("https://klasma.github.io/Logging_1463/tillsyn/A 57572-2021 tillsynsbegäran.docx", "A 57572-2021")</f>
        <v/>
      </c>
      <c r="AC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46223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X13">
        <f>HYPERLINK("https://klasma.github.io/Logging_1463/kartor_geotiff/A 6850-2024 georefererad karta.tif", "A 6850-2024")</f>
        <v/>
      </c>
      <c r="Z13">
        <f>HYPERLINK("https://klasma.github.io/Logging_1463/klagomål/A 6850-2024 FSC-klagomål.docx", "A 6850-2024")</f>
        <v/>
      </c>
      <c r="AA13">
        <f>HYPERLINK("https://klasma.github.io/Logging_1463/klagomålsmail/A 6850-2024 FSC-klagomål mail.docx", "A 6850-2024")</f>
        <v/>
      </c>
      <c r="AB13">
        <f>HYPERLINK("https://klasma.github.io/Logging_1463/tillsyn/A 6850-2024 tillsynsbegäran.docx", "A 6850-2024")</f>
        <v/>
      </c>
      <c r="AC13">
        <f>HYPERLINK("https://klasma.github.io/Logging_1463/tillsynsmail/A 6850-2024 tillsynsbegäran mail.docx", "A 6850-2024")</f>
        <v/>
      </c>
      <c r="AD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46223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Slemjordtunga
Vitvaxing agg.</t>
        </is>
      </c>
      <c r="V14">
        <f>HYPERLINK("https://klasma.github.io/Logging_1463/artfynd/A 3653-2023 artfynd.xlsx", "A 3653-2023")</f>
        <v/>
      </c>
      <c r="W14">
        <f>HYPERLINK("https://klasma.github.io/Logging_1463/kartor/A 3653-2023 karta.png", "A 3653-2023")</f>
        <v/>
      </c>
      <c r="X14">
        <f>HYPERLINK("https://klasma.github.io/Logging_1463/kartor_geotiff/A 3653-2023 georefererad karta.tif", "A 3653-2023")</f>
        <v/>
      </c>
      <c r="Z14">
        <f>HYPERLINK("https://klasma.github.io/Logging_1463/klagomål/A 3653-2023 FSC-klagomål.docx", "A 3653-2023")</f>
        <v/>
      </c>
      <c r="AA14">
        <f>HYPERLINK("https://klasma.github.io/Logging_1463/klagomålsmail/A 3653-2023 FSC-klagomål mail.docx", "A 3653-2023")</f>
        <v/>
      </c>
      <c r="AB14">
        <f>HYPERLINK("https://klasma.github.io/Logging_1463/tillsyn/A 3653-2023 tillsynsbegäran.docx", "A 3653-2023")</f>
        <v/>
      </c>
      <c r="AC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46223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s="2" t="inlineStr">
        <is>
          <t>Spillkråka
Kungsfågel</t>
        </is>
      </c>
      <c r="V15">
        <f>HYPERLINK("https://klasma.github.io/Logging_1463/artfynd/A 55856-2025 artfynd.xlsx", "A 55856-2025")</f>
        <v/>
      </c>
      <c r="W15">
        <f>HYPERLINK("https://klasma.github.io/Logging_1463/kartor/A 55856-2025 karta.png", "A 55856-2025")</f>
        <v/>
      </c>
      <c r="X15">
        <f>HYPERLINK("https://klasma.github.io/Logging_1463/kartor_geotiff/A 55856-2025 georefererad karta.tif", "A 55856-2025")</f>
        <v/>
      </c>
      <c r="Z15">
        <f>HYPERLINK("https://klasma.github.io/Logging_1463/klagomål/A 55856-2025 FSC-klagomål.docx", "A 55856-2025")</f>
        <v/>
      </c>
      <c r="AA15">
        <f>HYPERLINK("https://klasma.github.io/Logging_1463/klagomålsmail/A 55856-2025 FSC-klagomål mail.docx", "A 55856-2025")</f>
        <v/>
      </c>
      <c r="AB15">
        <f>HYPERLINK("https://klasma.github.io/Logging_1463/tillsyn/A 55856-2025 tillsynsbegäran.docx", "A 55856-2025")</f>
        <v/>
      </c>
      <c r="AC15">
        <f>HYPERLINK("https://klasma.github.io/Logging_1463/tillsynsmail/A 55856-2025 tillsynsbegäran mail.docx", "A 55856-2025")</f>
        <v/>
      </c>
      <c r="AD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46223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Blomkålssvamp</t>
        </is>
      </c>
      <c r="V16">
        <f>HYPERLINK("https://klasma.github.io/Logging_1463/artfynd/A 61493-2025 artfynd.xlsx", "A 61493-2025")</f>
        <v/>
      </c>
      <c r="W16">
        <f>HYPERLINK("https://klasma.github.io/Logging_1463/kartor/A 61493-2025 karta.png", "A 61493-2025")</f>
        <v/>
      </c>
      <c r="X16">
        <f>HYPERLINK("https://klasma.github.io/Logging_1463/kartor_geotiff/A 61493-2025 georefererad karta.tif", "A 61493-2025")</f>
        <v/>
      </c>
      <c r="Y16">
        <f>HYPERLINK("https://klasma.github.io/Logging_1463/knärot/A 61493-2025 karta knärot.png", "A 61493-2025")</f>
        <v/>
      </c>
      <c r="Z16">
        <f>HYPERLINK("https://klasma.github.io/Logging_1463/klagomål/A 61493-2025 FSC-klagomål.docx", "A 61493-2025")</f>
        <v/>
      </c>
      <c r="AA16">
        <f>HYPERLINK("https://klasma.github.io/Logging_1463/klagomålsmail/A 61493-2025 FSC-klagomål mail.docx", "A 61493-2025")</f>
        <v/>
      </c>
      <c r="AB16">
        <f>HYPERLINK("https://klasma.github.io/Logging_1463/tillsyn/A 61493-2025 tillsynsbegäran.docx", "A 61493-2025")</f>
        <v/>
      </c>
      <c r="AC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46223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Ål
Öring</t>
        </is>
      </c>
      <c r="V17">
        <f>HYPERLINK("https://klasma.github.io/Logging_1463/artfynd/A 62079-2025 artfynd.xlsx", "A 62079-2025")</f>
        <v/>
      </c>
      <c r="W17">
        <f>HYPERLINK("https://klasma.github.io/Logging_1463/kartor/A 62079-2025 karta.png", "A 62079-2025")</f>
        <v/>
      </c>
      <c r="X17">
        <f>HYPERLINK("https://klasma.github.io/Logging_1463/kartor_geotiff/A 62079-2025 georefererad karta.tif", "A 62079-2025")</f>
        <v/>
      </c>
      <c r="Z17">
        <f>HYPERLINK("https://klasma.github.io/Logging_1463/klagomål/A 62079-2025 FSC-klagomål.docx", "A 62079-2025")</f>
        <v/>
      </c>
      <c r="AA17">
        <f>HYPERLINK("https://klasma.github.io/Logging_1463/klagomålsmail/A 62079-2025 FSC-klagomål mail.docx", "A 62079-2025")</f>
        <v/>
      </c>
      <c r="AB17">
        <f>HYPERLINK("https://klasma.github.io/Logging_1463/tillsyn/A 62079-2025 tillsynsbegäran.docx", "A 62079-2025")</f>
        <v/>
      </c>
      <c r="AC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46223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Vanlig groda</t>
        </is>
      </c>
      <c r="V18">
        <f>HYPERLINK("https://klasma.github.io/Logging_1463/artfynd/A 59419-2024 artfynd.xlsx", "A 59419-2024")</f>
        <v/>
      </c>
      <c r="W18">
        <f>HYPERLINK("https://klasma.github.io/Logging_1463/kartor/A 59419-2024 karta.png", "A 59419-2024")</f>
        <v/>
      </c>
      <c r="X18">
        <f>HYPERLINK("https://klasma.github.io/Logging_1463/kartor_geotiff/A 59419-2024 georefererad karta.tif", "A 59419-2024")</f>
        <v/>
      </c>
      <c r="Z18">
        <f>HYPERLINK("https://klasma.github.io/Logging_1463/klagomål/A 59419-2024 FSC-klagomål.docx", "A 59419-2024")</f>
        <v/>
      </c>
      <c r="AA18">
        <f>HYPERLINK("https://klasma.github.io/Logging_1463/klagomålsmail/A 59419-2024 FSC-klagomål mail.docx", "A 59419-2024")</f>
        <v/>
      </c>
      <c r="AB18">
        <f>HYPERLINK("https://klasma.github.io/Logging_1463/tillsyn/A 59419-2024 tillsynsbegäran.docx", "A 59419-2024")</f>
        <v/>
      </c>
      <c r="AC18">
        <f>HYPERLINK("https://klasma.github.io/Logging_1463/tillsynsmail/A 59419-2024 tillsynsbegäran mail.docx", "A 59419-2024")</f>
        <v/>
      </c>
      <c r="AD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46223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Hässleklocka
Hasselmus</t>
        </is>
      </c>
      <c r="V19">
        <f>HYPERLINK("https://klasma.github.io/Logging_1463/artfynd/A 34166-2023 artfynd.xlsx", "A 34166-2023")</f>
        <v/>
      </c>
      <c r="W19">
        <f>HYPERLINK("https://klasma.github.io/Logging_1463/kartor/A 34166-2023 karta.png", "A 34166-2023")</f>
        <v/>
      </c>
      <c r="X19">
        <f>HYPERLINK("https://klasma.github.io/Logging_1463/kartor_geotiff/A 34166-2023 georefererad karta.tif", "A 34166-2023")</f>
        <v/>
      </c>
      <c r="Z19">
        <f>HYPERLINK("https://klasma.github.io/Logging_1463/klagomål/A 34166-2023 FSC-klagomål.docx", "A 34166-2023")</f>
        <v/>
      </c>
      <c r="AA19">
        <f>HYPERLINK("https://klasma.github.io/Logging_1463/klagomålsmail/A 34166-2023 FSC-klagomål mail.docx", "A 34166-2023")</f>
        <v/>
      </c>
      <c r="AB19">
        <f>HYPERLINK("https://klasma.github.io/Logging_1463/tillsyn/A 34166-2023 tillsynsbegäran.docx", "A 34166-2023")</f>
        <v/>
      </c>
      <c r="AC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46223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Stor revmossa</t>
        </is>
      </c>
      <c r="V20">
        <f>HYPERLINK("https://klasma.github.io/Logging_1463/artfynd/A 12807-2023 artfynd.xlsx", "A 12807-2023")</f>
        <v/>
      </c>
      <c r="W20">
        <f>HYPERLINK("https://klasma.github.io/Logging_1463/kartor/A 12807-2023 karta.png", "A 12807-2023")</f>
        <v/>
      </c>
      <c r="X20">
        <f>HYPERLINK("https://klasma.github.io/Logging_1463/kartor_geotiff/A 12807-2023 georefererad karta.tif", "A 12807-2023")</f>
        <v/>
      </c>
      <c r="Y20">
        <f>HYPERLINK("https://klasma.github.io/Logging_1463/knärot/A 12807-2023 karta knärot.png", "A 12807-2023")</f>
        <v/>
      </c>
      <c r="Z20">
        <f>HYPERLINK("https://klasma.github.io/Logging_1463/klagomål/A 12807-2023 FSC-klagomål.docx", "A 12807-2023")</f>
        <v/>
      </c>
      <c r="AA20">
        <f>HYPERLINK("https://klasma.github.io/Logging_1463/klagomålsmail/A 12807-2023 FSC-klagomål mail.docx", "A 12807-2023")</f>
        <v/>
      </c>
      <c r="AB20">
        <f>HYPERLINK("https://klasma.github.io/Logging_1463/tillsyn/A 12807-2023 tillsynsbegäran.docx", "A 12807-2023")</f>
        <v/>
      </c>
      <c r="AC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46223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Ål
Öring</t>
        </is>
      </c>
      <c r="V21">
        <f>HYPERLINK("https://klasma.github.io/Logging_1463/artfynd/A 36783-2023 artfynd.xlsx", "A 36783-2023")</f>
        <v/>
      </c>
      <c r="W21">
        <f>HYPERLINK("https://klasma.github.io/Logging_1463/kartor/A 36783-2023 karta.png", "A 36783-2023")</f>
        <v/>
      </c>
      <c r="X21">
        <f>HYPERLINK("https://klasma.github.io/Logging_1463/kartor_geotiff/A 36783-2023 georefererad karta.tif", "A 36783-2023")</f>
        <v/>
      </c>
      <c r="Z21">
        <f>HYPERLINK("https://klasma.github.io/Logging_1463/klagomål/A 36783-2023 FSC-klagomål.docx", "A 36783-2023")</f>
        <v/>
      </c>
      <c r="AA21">
        <f>HYPERLINK("https://klasma.github.io/Logging_1463/klagomålsmail/A 36783-2023 FSC-klagomål mail.docx", "A 36783-2023")</f>
        <v/>
      </c>
      <c r="AB21">
        <f>HYPERLINK("https://klasma.github.io/Logging_1463/tillsyn/A 36783-2023 tillsynsbegäran.docx", "A 36783-2023")</f>
        <v/>
      </c>
      <c r="AC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46223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X22">
        <f>HYPERLINK("https://klasma.github.io/Logging_1463/kartor_geotiff/A 2366-2025 georefererad karta.tif", "A 2366-2025")</f>
        <v/>
      </c>
      <c r="Z22">
        <f>HYPERLINK("https://klasma.github.io/Logging_1463/klagomål/A 2366-2025 FSC-klagomål.docx", "A 2366-2025")</f>
        <v/>
      </c>
      <c r="AA22">
        <f>HYPERLINK("https://klasma.github.io/Logging_1463/klagomålsmail/A 2366-2025 FSC-klagomål mail.docx", "A 2366-2025")</f>
        <v/>
      </c>
      <c r="AB22">
        <f>HYPERLINK("https://klasma.github.io/Logging_1463/tillsyn/A 2366-2025 tillsynsbegäran.docx", "A 2366-2025")</f>
        <v/>
      </c>
      <c r="AC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46223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HYPERLINK("https://klasma.github.io/Logging_1463/artfynd/A 34284-2022 artfynd.xlsx", "A 34284-2022")</f>
        <v/>
      </c>
      <c r="W23">
        <f>HYPERLINK("https://klasma.github.io/Logging_1463/kartor/A 34284-2022 karta.png", "A 34284-2022")</f>
        <v/>
      </c>
      <c r="X23">
        <f>HYPERLINK("https://klasma.github.io/Logging_1463/kartor_geotiff/A 34284-2022 georefererad karta.tif", "A 34284-2022")</f>
        <v/>
      </c>
      <c r="Z23">
        <f>HYPERLINK("https://klasma.github.io/Logging_1463/klagomål/A 34284-2022 FSC-klagomål.docx", "A 34284-2022")</f>
        <v/>
      </c>
      <c r="AA23">
        <f>HYPERLINK("https://klasma.github.io/Logging_1463/klagomålsmail/A 34284-2022 FSC-klagomål mail.docx", "A 34284-2022")</f>
        <v/>
      </c>
      <c r="AB23">
        <f>HYPERLINK("https://klasma.github.io/Logging_1463/tillsyn/A 34284-2022 tillsynsbegäran.docx", "A 34284-2022")</f>
        <v/>
      </c>
      <c r="AC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46223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HYPERLINK("https://klasma.github.io/Logging_1463/artfynd/A 45735-2022 artfynd.xlsx", "A 45735-2022")</f>
        <v/>
      </c>
      <c r="W24">
        <f>HYPERLINK("https://klasma.github.io/Logging_1463/kartor/A 45735-2022 karta.png", "A 45735-2022")</f>
        <v/>
      </c>
      <c r="X24">
        <f>HYPERLINK("https://klasma.github.io/Logging_1463/kartor_geotiff/A 45735-2022 georefererad karta.tif", "A 45735-2022")</f>
        <v/>
      </c>
      <c r="Z24">
        <f>HYPERLINK("https://klasma.github.io/Logging_1463/klagomål/A 45735-2022 FSC-klagomål.docx", "A 45735-2022")</f>
        <v/>
      </c>
      <c r="AA24">
        <f>HYPERLINK("https://klasma.github.io/Logging_1463/klagomålsmail/A 45735-2022 FSC-klagomål mail.docx", "A 45735-2022")</f>
        <v/>
      </c>
      <c r="AB24">
        <f>HYPERLINK("https://klasma.github.io/Logging_1463/tillsyn/A 45735-2022 tillsynsbegäran.docx", "A 45735-2022")</f>
        <v/>
      </c>
      <c r="AC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46223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HYPERLINK("https://klasma.github.io/Logging_1463/artfynd/A 26050-2023 artfynd.xlsx", "A 26050-2023")</f>
        <v/>
      </c>
      <c r="W25">
        <f>HYPERLINK("https://klasma.github.io/Logging_1463/kartor/A 26050-2023 karta.png", "A 26050-2023")</f>
        <v/>
      </c>
      <c r="X25">
        <f>HYPERLINK("https://klasma.github.io/Logging_1463/kartor_geotiff/A 26050-2023 georefererad karta.tif", "A 26050-2023")</f>
        <v/>
      </c>
      <c r="Z25">
        <f>HYPERLINK("https://klasma.github.io/Logging_1463/klagomål/A 26050-2023 FSC-klagomål.docx", "A 26050-2023")</f>
        <v/>
      </c>
      <c r="AA25">
        <f>HYPERLINK("https://klasma.github.io/Logging_1463/klagomålsmail/A 26050-2023 FSC-klagomål mail.docx", "A 26050-2023")</f>
        <v/>
      </c>
      <c r="AB25">
        <f>HYPERLINK("https://klasma.github.io/Logging_1463/tillsyn/A 26050-2023 tillsynsbegäran.docx", "A 26050-2023")</f>
        <v/>
      </c>
      <c r="AC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46223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HYPERLINK("https://klasma.github.io/Logging_1463/artfynd/A 62725-2023 artfynd.xlsx", "A 62725-2023")</f>
        <v/>
      </c>
      <c r="W26">
        <f>HYPERLINK("https://klasma.github.io/Logging_1463/kartor/A 62725-2023 karta.png", "A 62725-2023")</f>
        <v/>
      </c>
      <c r="X26">
        <f>HYPERLINK("https://klasma.github.io/Logging_1463/kartor_geotiff/A 62725-2023 georefererad karta.tif", "A 62725-2023")</f>
        <v/>
      </c>
      <c r="Z26">
        <f>HYPERLINK("https://klasma.github.io/Logging_1463/klagomål/A 62725-2023 FSC-klagomål.docx", "A 62725-2023")</f>
        <v/>
      </c>
      <c r="AA26">
        <f>HYPERLINK("https://klasma.github.io/Logging_1463/klagomålsmail/A 62725-2023 FSC-klagomål mail.docx", "A 62725-2023")</f>
        <v/>
      </c>
      <c r="AB26">
        <f>HYPERLINK("https://klasma.github.io/Logging_1463/tillsyn/A 62725-2023 tillsynsbegäran.docx", "A 62725-2023")</f>
        <v/>
      </c>
      <c r="AC26">
        <f>HYPERLINK("https://klasma.github.io/Logging_1463/tillsynsmail/A 62725-2023 tillsynsbegäran mail.docx", "A 62725-2023")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46223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Fällmossa</t>
        </is>
      </c>
      <c r="V27">
        <f>HYPERLINK("https://klasma.github.io/Logging_1463/artfynd/A 40642-2025 artfynd.xlsx", "A 40642-2025")</f>
        <v/>
      </c>
      <c r="W27">
        <f>HYPERLINK("https://klasma.github.io/Logging_1463/kartor/A 40642-2025 karta.png", "A 40642-2025")</f>
        <v/>
      </c>
      <c r="X27">
        <f>HYPERLINK("https://klasma.github.io/Logging_1463/kartor_geotiff/A 40642-2025 georefererad karta.tif", "A 40642-2025")</f>
        <v/>
      </c>
      <c r="Z27">
        <f>HYPERLINK("https://klasma.github.io/Logging_1463/klagomål/A 40642-2025 FSC-klagomål.docx", "A 40642-2025")</f>
        <v/>
      </c>
      <c r="AA27">
        <f>HYPERLINK("https://klasma.github.io/Logging_1463/klagomålsmail/A 40642-2025 FSC-klagomål mail.docx", "A 40642-2025")</f>
        <v/>
      </c>
      <c r="AB27">
        <f>HYPERLINK("https://klasma.github.io/Logging_1463/tillsyn/A 40642-2025 tillsynsbegäran.docx", "A 40642-2025")</f>
        <v/>
      </c>
      <c r="AC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46223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HYPERLINK("https://klasma.github.io/Logging_1463/artfynd/A 4304-2024 artfynd.xlsx", "A 4304-2024")</f>
        <v/>
      </c>
      <c r="W28">
        <f>HYPERLINK("https://klasma.github.io/Logging_1463/kartor/A 4304-2024 karta.png", "A 4304-2024")</f>
        <v/>
      </c>
      <c r="X28">
        <f>HYPERLINK("https://klasma.github.io/Logging_1463/kartor_geotiff/A 4304-2024 georefererad karta.tif", "A 4304-2024")</f>
        <v/>
      </c>
      <c r="Z28">
        <f>HYPERLINK("https://klasma.github.io/Logging_1463/klagomål/A 4304-2024 FSC-klagomål.docx", "A 4304-2024")</f>
        <v/>
      </c>
      <c r="AA28">
        <f>HYPERLINK("https://klasma.github.io/Logging_1463/klagomålsmail/A 4304-2024 FSC-klagomål mail.docx", "A 4304-2024")</f>
        <v/>
      </c>
      <c r="AB28">
        <f>HYPERLINK("https://klasma.github.io/Logging_1463/tillsyn/A 4304-2024 tillsynsbegäran.docx", "A 4304-2024")</f>
        <v/>
      </c>
      <c r="AC28">
        <f>HYPERLINK("https://klasma.github.io/Logging_1463/tillsynsmail/A 4304-2024 tillsynsbegäran mail.docx", "A 4304-2024")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46223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HYPERLINK("https://klasma.github.io/Logging_1463/artfynd/A 34899-2025 artfynd.xlsx", "A 34899-2025")</f>
        <v/>
      </c>
      <c r="W29">
        <f>HYPERLINK("https://klasma.github.io/Logging_1463/kartor/A 34899-2025 karta.png", "A 34899-2025")</f>
        <v/>
      </c>
      <c r="X29">
        <f>HYPERLINK("https://klasma.github.io/Logging_1463/kartor_geotiff/A 34899-2025 georefererad karta.tif", "A 34899-2025")</f>
        <v/>
      </c>
      <c r="Z29">
        <f>HYPERLINK("https://klasma.github.io/Logging_1463/klagomål/A 34899-2025 FSC-klagomål.docx", "A 34899-2025")</f>
        <v/>
      </c>
      <c r="AA29">
        <f>HYPERLINK("https://klasma.github.io/Logging_1463/klagomålsmail/A 34899-2025 FSC-klagomål mail.docx", "A 34899-2025")</f>
        <v/>
      </c>
      <c r="AB29">
        <f>HYPERLINK("https://klasma.github.io/Logging_1463/tillsyn/A 34899-2025 tillsynsbegäran.docx", "A 34899-2025")</f>
        <v/>
      </c>
      <c r="AC29">
        <f>HYPERLINK("https://klasma.github.io/Logging_1463/tillsynsmail/A 34899-2025 tillsynsbegäran mail.docx", "A 34899-2025")</f>
        <v/>
      </c>
      <c r="AD29">
        <f>HYPERLINK("https://klasma.github.io/Logging_1463/fåglar/A 34899-2025 prioriterade fågelarter.docx", "A 34899-2025")</f>
        <v/>
      </c>
    </row>
    <row r="30" ht="15" customHeight="1">
      <c r="A30" t="inlineStr">
        <is>
          <t>A 54675-2024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46223</v>
      </c>
      <c r="F30" t="inlineStr">
        <is>
          <t>VÄSTRA GÖTALANDS LÄN</t>
        </is>
      </c>
      <c r="G30" t="inlineStr">
        <is>
          <t>MARK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Huggorm</t>
        </is>
      </c>
      <c r="V30">
        <f>HYPERLINK("https://klasma.github.io/Logging_1463/artfynd/A 54675-2024 artfynd.xlsx", "A 54675-2024")</f>
        <v/>
      </c>
      <c r="W30">
        <f>HYPERLINK("https://klasma.github.io/Logging_1463/kartor/A 54675-2024 karta.png", "A 54675-2024")</f>
        <v/>
      </c>
      <c r="X30">
        <f>HYPERLINK("https://klasma.github.io/Logging_1463/kartor_geotiff/A 54675-2024 georefererad karta.tif", "A 54675-2024")</f>
        <v/>
      </c>
      <c r="Z30">
        <f>HYPERLINK("https://klasma.github.io/Logging_1463/klagomål/A 54675-2024 FSC-klagomål.docx", "A 54675-2024")</f>
        <v/>
      </c>
      <c r="AA30">
        <f>HYPERLINK("https://klasma.github.io/Logging_1463/klagomålsmail/A 54675-2024 FSC-klagomål mail.docx", "A 54675-2024")</f>
        <v/>
      </c>
      <c r="AB30">
        <f>HYPERLINK("https://klasma.github.io/Logging_1463/tillsyn/A 54675-2024 tillsynsbegäran.docx", "A 54675-2024")</f>
        <v/>
      </c>
      <c r="AC30">
        <f>HYPERLINK("https://klasma.github.io/Logging_1463/tillsynsmail/A 54675-2024 tillsynsbegäran mail.docx", "A 54675-2024")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46223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s="2" t="inlineStr">
        <is>
          <t>Svinrot</t>
        </is>
      </c>
      <c r="V31">
        <f>HYPERLINK("https://klasma.github.io/Logging_1463/artfynd/A 49725-2024 artfynd.xlsx", "A 49725-2024")</f>
        <v/>
      </c>
      <c r="W31">
        <f>HYPERLINK("https://klasma.github.io/Logging_1463/kartor/A 49725-2024 karta.png", "A 49725-2024")</f>
        <v/>
      </c>
      <c r="X31">
        <f>HYPERLINK("https://klasma.github.io/Logging_1463/kartor_geotiff/A 49725-2024 georefererad karta.tif", "A 49725-2024")</f>
        <v/>
      </c>
      <c r="Z31">
        <f>HYPERLINK("https://klasma.github.io/Logging_1463/klagomål/A 49725-2024 FSC-klagomål.docx", "A 49725-2024")</f>
        <v/>
      </c>
      <c r="AA31">
        <f>HYPERLINK("https://klasma.github.io/Logging_1463/klagomålsmail/A 49725-2024 FSC-klagomål mail.docx", "A 49725-2024")</f>
        <v/>
      </c>
      <c r="AB31">
        <f>HYPERLINK("https://klasma.github.io/Logging_1463/tillsyn/A 49725-2024 tillsynsbegäran.docx", "A 49725-2024")</f>
        <v/>
      </c>
      <c r="AC31">
        <f>HYPERLINK("https://klasma.github.io/Logging_1463/tillsynsmail/A 49725-2024 tillsynsbegäran mail.docx", "A 49725-2024")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46223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Stor revmossa</t>
        </is>
      </c>
      <c r="V32">
        <f>HYPERLINK("https://klasma.github.io/Logging_1463/artfynd/A 16277-2025 artfynd.xlsx", "A 16277-2025")</f>
        <v/>
      </c>
      <c r="W32">
        <f>HYPERLINK("https://klasma.github.io/Logging_1463/kartor/A 16277-2025 karta.png", "A 16277-2025")</f>
        <v/>
      </c>
      <c r="X32">
        <f>HYPERLINK("https://klasma.github.io/Logging_1463/kartor_geotiff/A 16277-2025 georefererad karta.tif", "A 16277-2025")</f>
        <v/>
      </c>
      <c r="Z32">
        <f>HYPERLINK("https://klasma.github.io/Logging_1463/klagomål/A 16277-2025 FSC-klagomål.docx", "A 16277-2025")</f>
        <v/>
      </c>
      <c r="AA32">
        <f>HYPERLINK("https://klasma.github.io/Logging_1463/klagomålsmail/A 16277-2025 FSC-klagomål mail.docx", "A 16277-2025")</f>
        <v/>
      </c>
      <c r="AB32">
        <f>HYPERLINK("https://klasma.github.io/Logging_1463/tillsyn/A 16277-2025 tillsynsbegäran.docx", "A 16277-2025")</f>
        <v/>
      </c>
      <c r="AC32">
        <f>HYPERLINK("https://klasma.github.io/Logging_1463/tillsynsmail/A 16277-2025 tillsynsbegäran mail.docx", "A 16277-2025")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46223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Öring</t>
        </is>
      </c>
      <c r="V33">
        <f>HYPERLINK("https://klasma.github.io/Logging_1463/artfynd/A 363-2026 artfynd.xlsx", "A 363-2026")</f>
        <v/>
      </c>
      <c r="W33">
        <f>HYPERLINK("https://klasma.github.io/Logging_1463/kartor/A 363-2026 karta.png", "A 363-2026")</f>
        <v/>
      </c>
      <c r="X33">
        <f>HYPERLINK("https://klasma.github.io/Logging_1463/kartor_geotiff/A 363-2026 georefererad karta.tif", "A 363-2026")</f>
        <v/>
      </c>
      <c r="Z33">
        <f>HYPERLINK("https://klasma.github.io/Logging_1463/klagomål/A 363-2026 FSC-klagomål.docx", "A 363-2026")</f>
        <v/>
      </c>
      <c r="AA33">
        <f>HYPERLINK("https://klasma.github.io/Logging_1463/klagomålsmail/A 363-2026 FSC-klagomål mail.docx", "A 363-2026")</f>
        <v/>
      </c>
      <c r="AB33">
        <f>HYPERLINK("https://klasma.github.io/Logging_1463/tillsyn/A 363-2026 tillsynsbegäran.docx", "A 363-2026")</f>
        <v/>
      </c>
      <c r="AC33">
        <f>HYPERLINK("https://klasma.github.io/Logging_1463/tillsynsmail/A 363-2026 tillsynsbegäran mail.docx", "A 363-2026")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46223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HYPERLINK("https://klasma.github.io/Logging_1463/artfynd/A 1634-2024 artfynd.xlsx", "A 1634-2024")</f>
        <v/>
      </c>
      <c r="W34">
        <f>HYPERLINK("https://klasma.github.io/Logging_1463/kartor/A 1634-2024 karta.png", "A 1634-2024")</f>
        <v/>
      </c>
      <c r="X34">
        <f>HYPERLINK("https://klasma.github.io/Logging_1463/kartor_geotiff/A 1634-2024 georefererad karta.tif", "A 1634-2024")</f>
        <v/>
      </c>
      <c r="Z34">
        <f>HYPERLINK("https://klasma.github.io/Logging_1463/klagomål/A 1634-2024 FSC-klagomål.docx", "A 1634-2024")</f>
        <v/>
      </c>
      <c r="AA34">
        <f>HYPERLINK("https://klasma.github.io/Logging_1463/klagomålsmail/A 1634-2024 FSC-klagomål mail.docx", "A 1634-2024")</f>
        <v/>
      </c>
      <c r="AB34">
        <f>HYPERLINK("https://klasma.github.io/Logging_1463/tillsyn/A 1634-2024 tillsynsbegäran.docx", "A 1634-2024")</f>
        <v/>
      </c>
      <c r="AC34">
        <f>HYPERLINK("https://klasma.github.io/Logging_1463/tillsynsmail/A 1634-2024 tillsynsbegäran mail.docx", "A 1634-2024")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46223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HYPERLINK("https://klasma.github.io/Logging_1463/artfynd/A 45268-2023 artfynd.xlsx", "A 45268-2023")</f>
        <v/>
      </c>
      <c r="W35">
        <f>HYPERLINK("https://klasma.github.io/Logging_1463/kartor/A 45268-2023 karta.png", "A 45268-2023")</f>
        <v/>
      </c>
      <c r="X35">
        <f>HYPERLINK("https://klasma.github.io/Logging_1463/kartor_geotiff/A 45268-2023 georefererad karta.tif", "A 45268-2023")</f>
        <v/>
      </c>
      <c r="Z35">
        <f>HYPERLINK("https://klasma.github.io/Logging_1463/klagomål/A 45268-2023 FSC-klagomål.docx", "A 45268-2023")</f>
        <v/>
      </c>
      <c r="AA35">
        <f>HYPERLINK("https://klasma.github.io/Logging_1463/klagomålsmail/A 45268-2023 FSC-klagomål mail.docx", "A 45268-2023")</f>
        <v/>
      </c>
      <c r="AB35">
        <f>HYPERLINK("https://klasma.github.io/Logging_1463/tillsyn/A 45268-2023 tillsynsbegäran.docx", "A 45268-2023")</f>
        <v/>
      </c>
      <c r="AC35">
        <f>HYPERLINK("https://klasma.github.io/Logging_1463/tillsynsmail/A 45268-2023 tillsynsbegäran mail.docx", "A 45268-2023")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46223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Öring</t>
        </is>
      </c>
      <c r="V36">
        <f>HYPERLINK("https://klasma.github.io/Logging_1463/artfynd/A 26683-2025 artfynd.xlsx", "A 26683-2025")</f>
        <v/>
      </c>
      <c r="W36">
        <f>HYPERLINK("https://klasma.github.io/Logging_1463/kartor/A 26683-2025 karta.png", "A 26683-2025")</f>
        <v/>
      </c>
      <c r="X36">
        <f>HYPERLINK("https://klasma.github.io/Logging_1463/kartor_geotiff/A 26683-2025 georefererad karta.tif", "A 26683-2025")</f>
        <v/>
      </c>
      <c r="Z36">
        <f>HYPERLINK("https://klasma.github.io/Logging_1463/klagomål/A 26683-2025 FSC-klagomål.docx", "A 26683-2025")</f>
        <v/>
      </c>
      <c r="AA36">
        <f>HYPERLINK("https://klasma.github.io/Logging_1463/klagomålsmail/A 26683-2025 FSC-klagomål mail.docx", "A 26683-2025")</f>
        <v/>
      </c>
      <c r="AB36">
        <f>HYPERLINK("https://klasma.github.io/Logging_1463/tillsyn/A 26683-2025 tillsynsbegäran.docx", "A 26683-2025")</f>
        <v/>
      </c>
      <c r="AC36">
        <f>HYPERLINK("https://klasma.github.io/Logging_1463/tillsynsmail/A 26683-2025 tillsynsbegäran mail.docx", "A 26683-2025")</f>
        <v/>
      </c>
    </row>
    <row r="37" ht="15" customHeight="1">
      <c r="A37" t="inlineStr">
        <is>
          <t>A 40255-2023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45169</v>
      </c>
      <c r="E37" s="1" t="n">
        <v>46223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6</v>
      </c>
      <c r="U37" s="2" t="inlineStr">
        <is>
          <t>Revlummer</t>
        </is>
      </c>
      <c r="V37">
        <f>HYPERLINK("https://klasma.github.io/Logging_1463/artfynd/A 40255-2023 artfynd.xlsx", "A 40255-2023")</f>
        <v/>
      </c>
      <c r="W37">
        <f>HYPERLINK("https://klasma.github.io/Logging_1463/kartor/A 40255-2023 karta.png", "A 40255-2023")</f>
        <v/>
      </c>
      <c r="X37">
        <f>HYPERLINK("https://klasma.github.io/Logging_1463/kartor_geotiff/A 40255-2023 georefererad karta.tif", "A 40255-2023")</f>
        <v/>
      </c>
      <c r="Z37">
        <f>HYPERLINK("https://klasma.github.io/Logging_1463/klagomål/A 40255-2023 FSC-klagomål.docx", "A 40255-2023")</f>
        <v/>
      </c>
      <c r="AA37">
        <f>HYPERLINK("https://klasma.github.io/Logging_1463/klagomålsmail/A 40255-2023 FSC-klagomål mail.docx", "A 40255-2023")</f>
        <v/>
      </c>
      <c r="AB37">
        <f>HYPERLINK("https://klasma.github.io/Logging_1463/tillsyn/A 40255-2023 tillsynsbegäran.docx", "A 40255-2023")</f>
        <v/>
      </c>
      <c r="AC37">
        <f>HYPERLINK("https://klasma.github.io/Logging_1463/tillsynsmail/A 40255-2023 tillsynsbegäran mail.docx", "A 40255-2023")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46223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Västlig hakmossa</t>
        </is>
      </c>
      <c r="V38">
        <f>HYPERLINK("https://klasma.github.io/Logging_1463/artfynd/A 33531-2025 artfynd.xlsx", "A 33531-2025")</f>
        <v/>
      </c>
      <c r="W38">
        <f>HYPERLINK("https://klasma.github.io/Logging_1463/kartor/A 33531-2025 karta.png", "A 33531-2025")</f>
        <v/>
      </c>
      <c r="X38">
        <f>HYPERLINK("https://klasma.github.io/Logging_1463/kartor_geotiff/A 33531-2025 georefererad karta.tif", "A 33531-2025")</f>
        <v/>
      </c>
      <c r="Z38">
        <f>HYPERLINK("https://klasma.github.io/Logging_1463/klagomål/A 33531-2025 FSC-klagomål.docx", "A 33531-2025")</f>
        <v/>
      </c>
      <c r="AA38">
        <f>HYPERLINK("https://klasma.github.io/Logging_1463/klagomålsmail/A 33531-2025 FSC-klagomål mail.docx", "A 33531-2025")</f>
        <v/>
      </c>
      <c r="AB38">
        <f>HYPERLINK("https://klasma.github.io/Logging_1463/tillsyn/A 33531-2025 tillsynsbegäran.docx", "A 33531-2025")</f>
        <v/>
      </c>
      <c r="AC38">
        <f>HYPERLINK("https://klasma.github.io/Logging_1463/tillsynsmail/A 33531-2025 tillsynsbegäran mail.docx", "A 33531-2025")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46223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Brandticka</t>
        </is>
      </c>
      <c r="V39">
        <f>HYPERLINK("https://klasma.github.io/Logging_1463/artfynd/A 33955-2023 artfynd.xlsx", "A 33955-2023")</f>
        <v/>
      </c>
      <c r="W39">
        <f>HYPERLINK("https://klasma.github.io/Logging_1463/kartor/A 33955-2023 karta.png", "A 33955-2023")</f>
        <v/>
      </c>
      <c r="X39">
        <f>HYPERLINK("https://klasma.github.io/Logging_1463/kartor_geotiff/A 33955-2023 georefererad karta.tif", "A 33955-2023")</f>
        <v/>
      </c>
      <c r="Z39">
        <f>HYPERLINK("https://klasma.github.io/Logging_1463/klagomål/A 33955-2023 FSC-klagomål.docx", "A 33955-2023")</f>
        <v/>
      </c>
      <c r="AA39">
        <f>HYPERLINK("https://klasma.github.io/Logging_1463/klagomålsmail/A 33955-2023 FSC-klagomål mail.docx", "A 33955-2023")</f>
        <v/>
      </c>
      <c r="AB39">
        <f>HYPERLINK("https://klasma.github.io/Logging_1463/tillsyn/A 33955-2023 tillsynsbegäran.docx", "A 33955-2023")</f>
        <v/>
      </c>
      <c r="AC39">
        <f>HYPERLINK("https://klasma.github.io/Logging_1463/tillsynsmail/A 33955-2023 tillsynsbegäran mail.docx", "A 33955-2023")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46223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Lilavaxing</t>
        </is>
      </c>
      <c r="V40">
        <f>HYPERLINK("https://klasma.github.io/Logging_1463/artfynd/A 65145-2023 artfynd.xlsx", "A 65145-2023")</f>
        <v/>
      </c>
      <c r="W40">
        <f>HYPERLINK("https://klasma.github.io/Logging_1463/kartor/A 65145-2023 karta.png", "A 65145-2023")</f>
        <v/>
      </c>
      <c r="X40">
        <f>HYPERLINK("https://klasma.github.io/Logging_1463/kartor_geotiff/A 65145-2023 georefererad karta.tif", "A 65145-2023")</f>
        <v/>
      </c>
      <c r="Z40">
        <f>HYPERLINK("https://klasma.github.io/Logging_1463/klagomål/A 65145-2023 FSC-klagomål.docx", "A 65145-2023")</f>
        <v/>
      </c>
      <c r="AA40">
        <f>HYPERLINK("https://klasma.github.io/Logging_1463/klagomålsmail/A 65145-2023 FSC-klagomål mail.docx", "A 65145-2023")</f>
        <v/>
      </c>
      <c r="AB40">
        <f>HYPERLINK("https://klasma.github.io/Logging_1463/tillsyn/A 65145-2023 tillsynsbegäran.docx", "A 65145-2023")</f>
        <v/>
      </c>
      <c r="AC40">
        <f>HYPERLINK("https://klasma.github.io/Logging_1463/tillsynsmail/A 65145-2023 tillsynsbegäran mail.docx", "A 65145-2023")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46223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HYPERLINK("https://klasma.github.io/Logging_1463/artfynd/A 29497-2026 artfynd.xlsx", "A 29497-2026")</f>
        <v/>
      </c>
      <c r="W41">
        <f>HYPERLINK("https://klasma.github.io/Logging_1463/kartor/A 29497-2026 karta.png", "A 29497-2026")</f>
        <v/>
      </c>
      <c r="X41">
        <f>HYPERLINK("https://klasma.github.io/Logging_1463/kartor_geotiff/A 29497-2026 georefererad karta.tif", "A 29497-2026")</f>
        <v/>
      </c>
      <c r="Z41">
        <f>HYPERLINK("https://klasma.github.io/Logging_1463/klagomål/A 29497-2026 FSC-klagomål.docx", "A 29497-2026")</f>
        <v/>
      </c>
      <c r="AA41">
        <f>HYPERLINK("https://klasma.github.io/Logging_1463/klagomålsmail/A 29497-2026 FSC-klagomål mail.docx", "A 29497-2026")</f>
        <v/>
      </c>
      <c r="AB41">
        <f>HYPERLINK("https://klasma.github.io/Logging_1463/tillsyn/A 29497-2026 tillsynsbegäran.docx", "A 29497-2026")</f>
        <v/>
      </c>
      <c r="AC41">
        <f>HYPERLINK("https://klasma.github.io/Logging_1463/tillsynsmail/A 29497-2026 tillsynsbegäran mail.docx", "A 29497-2026")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46223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s="2" t="inlineStr">
        <is>
          <t>Knärot</t>
        </is>
      </c>
      <c r="V42">
        <f>HYPERLINK("https://klasma.github.io/Logging_1463/artfynd/A 16997-2024 artfynd.xlsx", "A 16997-2024")</f>
        <v/>
      </c>
      <c r="W42">
        <f>HYPERLINK("https://klasma.github.io/Logging_1463/kartor/A 16997-2024 karta.png", "A 16997-2024")</f>
        <v/>
      </c>
      <c r="X42">
        <f>HYPERLINK("https://klasma.github.io/Logging_1463/kartor_geotiff/A 16997-2024 georefererad karta.tif", "A 16997-2024")</f>
        <v/>
      </c>
      <c r="Y42">
        <f>HYPERLINK("https://klasma.github.io/Logging_1463/knärot/A 16997-2024 karta knärot.png", "A 16997-2024")</f>
        <v/>
      </c>
      <c r="Z42">
        <f>HYPERLINK("https://klasma.github.io/Logging_1463/klagomål/A 16997-2024 FSC-klagomål.docx", "A 16997-2024")</f>
        <v/>
      </c>
      <c r="AA42">
        <f>HYPERLINK("https://klasma.github.io/Logging_1463/klagomålsmail/A 16997-2024 FSC-klagomål mail.docx", "A 16997-2024")</f>
        <v/>
      </c>
      <c r="AB42">
        <f>HYPERLINK("https://klasma.github.io/Logging_1463/tillsyn/A 16997-2024 tillsynsbegäran.docx", "A 16997-2024")</f>
        <v/>
      </c>
      <c r="AC42">
        <f>HYPERLINK("https://klasma.github.io/Logging_1463/tillsynsmail/A 16997-2024 tillsynsbegäran mail.docx", "A 16997-2024")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46223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HYPERLINK("https://klasma.github.io/Logging_1463/artfynd/A 59662-2022 artfynd.xlsx", "A 59662-2022")</f>
        <v/>
      </c>
      <c r="W43">
        <f>HYPERLINK("https://klasma.github.io/Logging_1463/kartor/A 59662-2022 karta.png", "A 59662-2022")</f>
        <v/>
      </c>
      <c r="X43">
        <f>HYPERLINK("https://klasma.github.io/Logging_1463/kartor_geotiff/A 59662-2022 georefererad karta.tif", "A 59662-2022")</f>
        <v/>
      </c>
      <c r="Z43">
        <f>HYPERLINK("https://klasma.github.io/Logging_1463/klagomål/A 59662-2022 FSC-klagomål.docx", "A 59662-2022")</f>
        <v/>
      </c>
      <c r="AA43">
        <f>HYPERLINK("https://klasma.github.io/Logging_1463/klagomålsmail/A 59662-2022 FSC-klagomål mail.docx", "A 59662-2022")</f>
        <v/>
      </c>
      <c r="AB43">
        <f>HYPERLINK("https://klasma.github.io/Logging_1463/tillsyn/A 59662-2022 tillsynsbegäran.docx", "A 59662-2022")</f>
        <v/>
      </c>
      <c r="AC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46223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HYPERLINK("https://klasma.github.io/Logging_1463/artfynd/A 23536-2025 artfynd.xlsx", "A 23536-2025")</f>
        <v/>
      </c>
      <c r="W44">
        <f>HYPERLINK("https://klasma.github.io/Logging_1463/kartor/A 23536-2025 karta.png", "A 23536-2025")</f>
        <v/>
      </c>
      <c r="X44">
        <f>HYPERLINK("https://klasma.github.io/Logging_1463/kartor_geotiff/A 23536-2025 georefererad karta.tif", "A 23536-2025")</f>
        <v/>
      </c>
      <c r="Z44">
        <f>HYPERLINK("https://klasma.github.io/Logging_1463/klagomål/A 23536-2025 FSC-klagomål.docx", "A 23536-2025")</f>
        <v/>
      </c>
      <c r="AA44">
        <f>HYPERLINK("https://klasma.github.io/Logging_1463/klagomålsmail/A 23536-2025 FSC-klagomål mail.docx", "A 23536-2025")</f>
        <v/>
      </c>
      <c r="AB44">
        <f>HYPERLINK("https://klasma.github.io/Logging_1463/tillsyn/A 23536-2025 tillsynsbegäran.docx", "A 23536-2025")</f>
        <v/>
      </c>
      <c r="AC44">
        <f>HYPERLINK("https://klasma.github.io/Logging_1463/tillsynsmail/A 23536-2025 tillsynsbegäran mail.docx", "A 23536-2025")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46223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Hasselmus</t>
        </is>
      </c>
      <c r="V45">
        <f>HYPERLINK("https://klasma.github.io/Logging_1463/artfynd/S 1461-2025 artfynd.xlsx", "S 1461-2025")</f>
        <v/>
      </c>
      <c r="W45">
        <f>HYPERLINK("https://klasma.github.io/Logging_1463/kartor/S 1461-2025 karta.png", "S 1461-2025")</f>
        <v/>
      </c>
      <c r="X45">
        <f>HYPERLINK("https://klasma.github.io/Logging_1463/kartor_geotiff/S 1461-2025 georefererad karta.tif", "S 1461-2025")</f>
        <v/>
      </c>
      <c r="Z45">
        <f>HYPERLINK("https://klasma.github.io/Logging_1463/klagomål/S 1461-2025 FSC-klagomål.docx", "S 1461-2025")</f>
        <v/>
      </c>
      <c r="AA45">
        <f>HYPERLINK("https://klasma.github.io/Logging_1463/klagomålsmail/S 1461-2025 FSC-klagomål mail.docx", "S 1461-2025")</f>
        <v/>
      </c>
      <c r="AB45">
        <f>HYPERLINK("https://klasma.github.io/Logging_1463/tillsyn/S 1461-2025 tillsynsbegäran.docx", "S 1461-2025")</f>
        <v/>
      </c>
      <c r="AC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46223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HYPERLINK("https://klasma.github.io/Logging_1463/artfynd/S 185-2026 artfynd.xlsx", "S 185-2026")</f>
        <v/>
      </c>
      <c r="W46">
        <f>HYPERLINK("https://klasma.github.io/Logging_1463/kartor/S 185-2026 karta.png", "S 185-2026")</f>
        <v/>
      </c>
      <c r="X46">
        <f>HYPERLINK("https://klasma.github.io/Logging_1463/kartor_geotiff/S 185-2026 georefererad karta.tif", "S 185-2026")</f>
        <v/>
      </c>
      <c r="Z46">
        <f>HYPERLINK("https://klasma.github.io/Logging_1463/klagomål/S 185-2026 FSC-klagomål.docx", "S 185-2026")</f>
        <v/>
      </c>
      <c r="AA46">
        <f>HYPERLINK("https://klasma.github.io/Logging_1463/klagomålsmail/S 185-2026 FSC-klagomål mail.docx", "S 185-2026")</f>
        <v/>
      </c>
      <c r="AB46">
        <f>HYPERLINK("https://klasma.github.io/Logging_1463/tillsyn/S 185-2026 tillsynsbegäran.docx", "S 185-2026")</f>
        <v/>
      </c>
      <c r="AC46">
        <f>HYPERLINK("https://klasma.github.io/Logging_1463/tillsynsmail/S 185-2026 tillsynsbegäran mail.docx", "S 185-2026")</f>
        <v/>
      </c>
      <c r="AD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46223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882-2026 artfynd.xlsx", "S 882-2026")</f>
        <v/>
      </c>
      <c r="W47">
        <f>HYPERLINK("https://klasma.github.io/Logging_1463/kartor/S 882-2026 karta.png", "S 882-2026")</f>
        <v/>
      </c>
      <c r="X47">
        <f>HYPERLINK("https://klasma.github.io/Logging_1463/kartor_geotiff/S 882-2026 georefererad karta.tif", "S 882-2026")</f>
        <v/>
      </c>
      <c r="Z47">
        <f>HYPERLINK("https://klasma.github.io/Logging_1463/klagomål/S 882-2026 FSC-klagomål.docx", "S 882-2026")</f>
        <v/>
      </c>
      <c r="AA47">
        <f>HYPERLINK("https://klasma.github.io/Logging_1463/klagomålsmail/S 882-2026 FSC-klagomål mail.docx", "S 882-2026")</f>
        <v/>
      </c>
      <c r="AB47">
        <f>HYPERLINK("https://klasma.github.io/Logging_1463/tillsyn/S 882-2026 tillsynsbegäran.docx", "S 882-2026")</f>
        <v/>
      </c>
      <c r="AC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46223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46223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46223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46223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46223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46223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46223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46223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46223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46223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46223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46223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46223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46223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46223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46223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46223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46223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46223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46223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46223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46223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37256-2021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44397</v>
      </c>
      <c r="E70" s="1" t="n">
        <v>46223</v>
      </c>
      <c r="F70" t="inlineStr">
        <is>
          <t>VÄSTRA GÖTALANDS LÄN</t>
        </is>
      </c>
      <c r="G70" t="inlineStr">
        <is>
          <t>MARK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37257-2021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44397</v>
      </c>
      <c r="E71" s="1" t="n">
        <v>46223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39570-2021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44416</v>
      </c>
      <c r="E72" s="1" t="n">
        <v>46223</v>
      </c>
      <c r="F72" t="inlineStr">
        <is>
          <t>VÄSTRA GÖTALANDS LÄN</t>
        </is>
      </c>
      <c r="G72" t="inlineStr">
        <is>
          <t>MARK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64140-2021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46223</v>
      </c>
      <c r="F73" t="inlineStr">
        <is>
          <t>VÄSTRA GÖTALANDS LÄN</t>
        </is>
      </c>
      <c r="G73" t="inlineStr">
        <is>
          <t>MARK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46223</v>
      </c>
      <c r="F74" t="inlineStr">
        <is>
          <t>VÄSTRA GÖTALANDS LÄN</t>
        </is>
      </c>
      <c r="G74" t="inlineStr">
        <is>
          <t>MARK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54943-2021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46223</v>
      </c>
      <c r="F75" t="inlineStr">
        <is>
          <t>VÄSTRA GÖTALANDS LÄN</t>
        </is>
      </c>
      <c r="G75" t="inlineStr">
        <is>
          <t>MARK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18139-2022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44684</v>
      </c>
      <c r="E76" s="1" t="n">
        <v>46223</v>
      </c>
      <c r="F76" t="inlineStr">
        <is>
          <t>VÄSTRA GÖTALANDS LÄN</t>
        </is>
      </c>
      <c r="G76" t="inlineStr">
        <is>
          <t>MARK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24151-2022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46223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37755-2021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44400</v>
      </c>
      <c r="E78" s="1" t="n">
        <v>46223</v>
      </c>
      <c r="F78" t="inlineStr">
        <is>
          <t>VÄSTRA GÖTALANDS LÄN</t>
        </is>
      </c>
      <c r="G78" t="inlineStr">
        <is>
          <t>MARK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52505-2022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46223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46223</v>
      </c>
      <c r="F80" t="inlineStr">
        <is>
          <t>VÄSTRA GÖTALANDS LÄN</t>
        </is>
      </c>
      <c r="G80" t="inlineStr">
        <is>
          <t>MARK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53779-2021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46223</v>
      </c>
      <c r="F81" t="inlineStr">
        <is>
          <t>VÄSTRA GÖTALANDS LÄN</t>
        </is>
      </c>
      <c r="G81" t="inlineStr">
        <is>
          <t>MARK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46223</v>
      </c>
      <c r="F82" t="inlineStr">
        <is>
          <t>VÄSTRA GÖTALANDS LÄN</t>
        </is>
      </c>
      <c r="G82" t="inlineStr">
        <is>
          <t>MARK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44425</v>
      </c>
      <c r="E83" s="1" t="n">
        <v>46223</v>
      </c>
      <c r="F83" t="inlineStr">
        <is>
          <t>VÄSTRA GÖTALANDS LÄN</t>
        </is>
      </c>
      <c r="G83" t="inlineStr">
        <is>
          <t>MARK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19835-2022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44696</v>
      </c>
      <c r="E84" s="1" t="n">
        <v>46223</v>
      </c>
      <c r="F84" t="inlineStr">
        <is>
          <t>VÄSTRA GÖTALANDS LÄN</t>
        </is>
      </c>
      <c r="G84" t="inlineStr">
        <is>
          <t>MARK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9014-2022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44615</v>
      </c>
      <c r="E85" s="1" t="n">
        <v>46223</v>
      </c>
      <c r="F85" t="inlineStr">
        <is>
          <t>VÄSTRA GÖTALANDS LÄN</t>
        </is>
      </c>
      <c r="G85" t="inlineStr">
        <is>
          <t>MARK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25886-2022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46223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8091-2022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46223</v>
      </c>
      <c r="F87" t="inlineStr">
        <is>
          <t>VÄSTRA GÖTALANDS LÄN</t>
        </is>
      </c>
      <c r="G87" t="inlineStr">
        <is>
          <t>MARK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8093-2022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46223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46223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46223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46223</v>
      </c>
      <c r="F91" t="inlineStr">
        <is>
          <t>VÄSTRA GÖTALANDS LÄN</t>
        </is>
      </c>
      <c r="G91" t="inlineStr">
        <is>
          <t>MARK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60804-2021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44497</v>
      </c>
      <c r="E92" s="1" t="n">
        <v>46223</v>
      </c>
      <c r="F92" t="inlineStr">
        <is>
          <t>VÄSTRA GÖTALANDS LÄN</t>
        </is>
      </c>
      <c r="G92" t="inlineStr">
        <is>
          <t>MARK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46223</v>
      </c>
      <c r="F93" t="inlineStr">
        <is>
          <t>VÄSTRA GÖTALANDS LÄN</t>
        </is>
      </c>
      <c r="G93" t="inlineStr">
        <is>
          <t>MARK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38497-2021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44407</v>
      </c>
      <c r="E94" s="1" t="n">
        <v>46223</v>
      </c>
      <c r="F94" t="inlineStr">
        <is>
          <t>VÄSTRA GÖTALANDS LÄN</t>
        </is>
      </c>
      <c r="G94" t="inlineStr">
        <is>
          <t>MARK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70090-2021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46223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17611-2022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46223</v>
      </c>
      <c r="F96" t="inlineStr">
        <is>
          <t>VÄSTRA GÖTALANDS LÄN</t>
        </is>
      </c>
      <c r="G96" t="inlineStr">
        <is>
          <t>MARK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46223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20412-2022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44699</v>
      </c>
      <c r="E98" s="1" t="n">
        <v>46223</v>
      </c>
      <c r="F98" t="inlineStr">
        <is>
          <t>VÄSTRA GÖTALANDS LÄN</t>
        </is>
      </c>
      <c r="G98" t="inlineStr">
        <is>
          <t>MARK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54719-2021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46223</v>
      </c>
      <c r="F99" t="inlineStr">
        <is>
          <t>VÄSTRA GÖTALANDS LÄN</t>
        </is>
      </c>
      <c r="G99" t="inlineStr">
        <is>
          <t>MARK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59618-2021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44491</v>
      </c>
      <c r="E100" s="1" t="n">
        <v>46223</v>
      </c>
      <c r="F100" t="inlineStr">
        <is>
          <t>VÄSTRA GÖTALANDS LÄN</t>
        </is>
      </c>
      <c r="G100" t="inlineStr">
        <is>
          <t>MARK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14425-2022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46223</v>
      </c>
      <c r="F101" t="inlineStr">
        <is>
          <t>VÄSTRA GÖTALANDS LÄN</t>
        </is>
      </c>
      <c r="G101" t="inlineStr">
        <is>
          <t>MARK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32230-2022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46223</v>
      </c>
      <c r="F102" t="inlineStr">
        <is>
          <t>VÄSTRA GÖTALANDS LÄN</t>
        </is>
      </c>
      <c r="G102" t="inlineStr">
        <is>
          <t>MARK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44469</v>
      </c>
      <c r="E103" s="1" t="n">
        <v>46223</v>
      </c>
      <c r="F103" t="inlineStr">
        <is>
          <t>VÄSTRA GÖTALANDS LÄN</t>
        </is>
      </c>
      <c r="G103" t="inlineStr">
        <is>
          <t>MARK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46223</v>
      </c>
      <c r="F104" t="inlineStr">
        <is>
          <t>VÄSTRA GÖTALANDS LÄN</t>
        </is>
      </c>
      <c r="G104" t="inlineStr">
        <is>
          <t>MARK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46223</v>
      </c>
      <c r="F105" t="inlineStr">
        <is>
          <t>VÄSTRA GÖTALANDS LÄN</t>
        </is>
      </c>
      <c r="G105" t="inlineStr">
        <is>
          <t>MARK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46223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54647-2021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44473</v>
      </c>
      <c r="E107" s="1" t="n">
        <v>46223</v>
      </c>
      <c r="F107" t="inlineStr">
        <is>
          <t>VÄSTRA GÖTALANDS LÄN</t>
        </is>
      </c>
      <c r="G107" t="inlineStr">
        <is>
          <t>MARK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10166-2022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44622</v>
      </c>
      <c r="E108" s="1" t="n">
        <v>46223</v>
      </c>
      <c r="F108" t="inlineStr">
        <is>
          <t>VÄSTRA GÖTALANDS LÄN</t>
        </is>
      </c>
      <c r="G108" t="inlineStr">
        <is>
          <t>MARK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71117-2021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46223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46223</v>
      </c>
      <c r="F110" t="inlineStr">
        <is>
          <t>VÄSTRA GÖTALANDS LÄN</t>
        </is>
      </c>
      <c r="G110" t="inlineStr">
        <is>
          <t>MARK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54001-2021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46223</v>
      </c>
      <c r="F111" t="inlineStr">
        <is>
          <t>VÄSTRA GÖTALANDS LÄN</t>
        </is>
      </c>
      <c r="G111" t="inlineStr">
        <is>
          <t>MARK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51794-2021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46223</v>
      </c>
      <c r="F112" t="inlineStr">
        <is>
          <t>VÄSTRA GÖTALANDS LÄN</t>
        </is>
      </c>
      <c r="G112" t="inlineStr">
        <is>
          <t>MARK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51828-2021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46223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19223-2022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46223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46223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46223</v>
      </c>
      <c r="F116" t="inlineStr">
        <is>
          <t>VÄSTRA GÖTALANDS LÄN</t>
        </is>
      </c>
      <c r="G116" t="inlineStr">
        <is>
          <t>MARK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46223</v>
      </c>
      <c r="F117" t="inlineStr">
        <is>
          <t>VÄSTRA GÖTALANDS LÄN</t>
        </is>
      </c>
      <c r="G117" t="inlineStr">
        <is>
          <t>MARK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45415</v>
      </c>
      <c r="E118" s="1" t="n">
        <v>46223</v>
      </c>
      <c r="F118" t="inlineStr">
        <is>
          <t>VÄSTRA GÖTALANDS LÄN</t>
        </is>
      </c>
      <c r="G118" t="inlineStr">
        <is>
          <t>MARK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31044-2022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46223</v>
      </c>
      <c r="F119" t="inlineStr">
        <is>
          <t>VÄSTRA GÖTALANDS LÄN</t>
        </is>
      </c>
      <c r="G119" t="inlineStr">
        <is>
          <t>MARK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46223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54947-2021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46223</v>
      </c>
      <c r="F121" t="inlineStr">
        <is>
          <t>VÄSTRA GÖTALANDS LÄN</t>
        </is>
      </c>
      <c r="G121" t="inlineStr">
        <is>
          <t>MARK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46223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46223</v>
      </c>
      <c r="F123" t="inlineStr">
        <is>
          <t>VÄSTRA GÖTALANDS LÄN</t>
        </is>
      </c>
      <c r="G123" t="inlineStr">
        <is>
          <t>MARK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34075-2023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45135</v>
      </c>
      <c r="E124" s="1" t="n">
        <v>46223</v>
      </c>
      <c r="F124" t="inlineStr">
        <is>
          <t>VÄSTRA GÖTALANDS LÄN</t>
        </is>
      </c>
      <c r="G124" t="inlineStr">
        <is>
          <t>MARK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34161-2023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45137</v>
      </c>
      <c r="E125" s="1" t="n">
        <v>46223</v>
      </c>
      <c r="F125" t="inlineStr">
        <is>
          <t>VÄSTRA GÖTALANDS LÄN</t>
        </is>
      </c>
      <c r="G125" t="inlineStr">
        <is>
          <t>MARK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31880-2023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46223</v>
      </c>
      <c r="F126" t="inlineStr">
        <is>
          <t>VÄSTRA GÖTALANDS LÄN</t>
        </is>
      </c>
      <c r="G126" t="inlineStr">
        <is>
          <t>MARK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17926-2024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46223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45414</v>
      </c>
      <c r="E128" s="1" t="n">
        <v>46223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Kommuner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45745</v>
      </c>
      <c r="E129" s="1" t="n">
        <v>46223</v>
      </c>
      <c r="F129" t="inlineStr">
        <is>
          <t>VÄSTRA GÖTALANDS LÄN</t>
        </is>
      </c>
      <c r="G129" t="inlineStr">
        <is>
          <t>MARK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27203-2024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46223</v>
      </c>
      <c r="F130" t="inlineStr">
        <is>
          <t>VÄSTRA GÖTALANDS LÄN</t>
        </is>
      </c>
      <c r="G130" t="inlineStr">
        <is>
          <t>MARK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45376</v>
      </c>
      <c r="E131" s="1" t="n">
        <v>46223</v>
      </c>
      <c r="F131" t="inlineStr">
        <is>
          <t>VÄSTRA GÖTALANDS LÄN</t>
        </is>
      </c>
      <c r="G131" t="inlineStr">
        <is>
          <t>MARK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46223</v>
      </c>
      <c r="F132" t="inlineStr">
        <is>
          <t>VÄSTRA GÖTALANDS LÄN</t>
        </is>
      </c>
      <c r="G132" t="inlineStr">
        <is>
          <t>MARK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23078-2024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46223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55842-2023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45233</v>
      </c>
      <c r="E134" s="1" t="n">
        <v>46223</v>
      </c>
      <c r="F134" t="inlineStr">
        <is>
          <t>VÄSTRA GÖTALANDS LÄN</t>
        </is>
      </c>
      <c r="G134" t="inlineStr">
        <is>
          <t>MARK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26943-2023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46223</v>
      </c>
      <c r="F135" t="inlineStr">
        <is>
          <t>VÄSTRA GÖTALANDS LÄN</t>
        </is>
      </c>
      <c r="G135" t="inlineStr">
        <is>
          <t>MARK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13181-2024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46223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58529-2022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46223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46223</v>
      </c>
      <c r="F138" t="inlineStr">
        <is>
          <t>VÄSTRA GÖTALANDS LÄN</t>
        </is>
      </c>
      <c r="G138" t="inlineStr">
        <is>
          <t>MARK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46223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46223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54277-2022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46223</v>
      </c>
      <c r="F141" t="inlineStr">
        <is>
          <t>VÄSTRA GÖTALANDS LÄN</t>
        </is>
      </c>
      <c r="G141" t="inlineStr">
        <is>
          <t>MARK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46223</v>
      </c>
      <c r="F142" t="inlineStr">
        <is>
          <t>VÄSTRA GÖTALANDS LÄN</t>
        </is>
      </c>
      <c r="G142" t="inlineStr">
        <is>
          <t>MARK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30231-2024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45490</v>
      </c>
      <c r="E143" s="1" t="n">
        <v>46223</v>
      </c>
      <c r="F143" t="inlineStr">
        <is>
          <t>VÄSTRA GÖTALANDS LÄN</t>
        </is>
      </c>
      <c r="G143" t="inlineStr">
        <is>
          <t>MARK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46223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30250-2024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46223</v>
      </c>
      <c r="F145" t="inlineStr">
        <is>
          <t>VÄSTRA GÖTALANDS LÄN</t>
        </is>
      </c>
      <c r="G145" t="inlineStr">
        <is>
          <t>MARK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35726-2023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45147</v>
      </c>
      <c r="E146" s="1" t="n">
        <v>46223</v>
      </c>
      <c r="F146" t="inlineStr">
        <is>
          <t>VÄSTRA GÖTALANDS LÄN</t>
        </is>
      </c>
      <c r="G146" t="inlineStr">
        <is>
          <t>MARK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36093-2024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46223</v>
      </c>
      <c r="F147" t="inlineStr">
        <is>
          <t>VÄSTRA GÖTALANDS LÄN</t>
        </is>
      </c>
      <c r="G147" t="inlineStr">
        <is>
          <t>MARK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6845-2024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46223</v>
      </c>
      <c r="F148" t="inlineStr">
        <is>
          <t>VÄSTRA GÖTALANDS LÄN</t>
        </is>
      </c>
      <c r="G148" t="inlineStr">
        <is>
          <t>MARK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46223</v>
      </c>
      <c r="F149" t="inlineStr">
        <is>
          <t>VÄSTRA GÖTALANDS LÄN</t>
        </is>
      </c>
      <c r="G149" t="inlineStr">
        <is>
          <t>MARK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46223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32184-2023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46223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7498-2023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46223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46223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46223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8855-2023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46223</v>
      </c>
      <c r="F155" t="inlineStr">
        <is>
          <t>VÄSTRA GÖTALANDS LÄN</t>
        </is>
      </c>
      <c r="G155" t="inlineStr">
        <is>
          <t>MARK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46223</v>
      </c>
      <c r="F156" t="inlineStr">
        <is>
          <t>VÄSTRA GÖTALANDS LÄN</t>
        </is>
      </c>
      <c r="G156" t="inlineStr">
        <is>
          <t>MARK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57399-2022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46223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45523</v>
      </c>
      <c r="E158" s="1" t="n">
        <v>46223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69264-2021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46223</v>
      </c>
      <c r="F159" t="inlineStr">
        <is>
          <t>VÄSTRA GÖTALANDS LÄN</t>
        </is>
      </c>
      <c r="G159" t="inlineStr">
        <is>
          <t>MARK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33189-2024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46223</v>
      </c>
      <c r="F160" t="inlineStr">
        <is>
          <t>VÄSTRA GÖTALANDS LÄN</t>
        </is>
      </c>
      <c r="G160" t="inlineStr">
        <is>
          <t>MARK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46223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26255-2025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46223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46223</v>
      </c>
      <c r="F163" t="inlineStr">
        <is>
          <t>VÄSTRA GÖTALANDS LÄN</t>
        </is>
      </c>
      <c r="G163" t="inlineStr">
        <is>
          <t>MARK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46223</v>
      </c>
      <c r="F164" t="inlineStr">
        <is>
          <t>VÄSTRA GÖTALANDS LÄN</t>
        </is>
      </c>
      <c r="G164" t="inlineStr">
        <is>
          <t>MARK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15788-2023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46223</v>
      </c>
      <c r="F165" t="inlineStr">
        <is>
          <t>VÄSTRA GÖTALANDS LÄN</t>
        </is>
      </c>
      <c r="G165" t="inlineStr">
        <is>
          <t>MARK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7050-2022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44603</v>
      </c>
      <c r="E166" s="1" t="n">
        <v>46223</v>
      </c>
      <c r="F166" t="inlineStr">
        <is>
          <t>VÄSTRA GÖTALANDS LÄN</t>
        </is>
      </c>
      <c r="G166" t="inlineStr">
        <is>
          <t>MARK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46223</v>
      </c>
      <c r="F167" t="inlineStr">
        <is>
          <t>VÄSTRA GÖTALANDS LÄN</t>
        </is>
      </c>
      <c r="G167" t="inlineStr">
        <is>
          <t>MARK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46223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46223</v>
      </c>
      <c r="F169" t="inlineStr">
        <is>
          <t>VÄSTRA GÖTALANDS LÄN</t>
        </is>
      </c>
      <c r="G169" t="inlineStr">
        <is>
          <t>MARK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46223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30272-2024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45490</v>
      </c>
      <c r="E171" s="1" t="n">
        <v>46223</v>
      </c>
      <c r="F171" t="inlineStr">
        <is>
          <t>VÄSTRA GÖTALANDS LÄN</t>
        </is>
      </c>
      <c r="G171" t="inlineStr">
        <is>
          <t>MARK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30277-2024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46223</v>
      </c>
      <c r="F172" t="inlineStr">
        <is>
          <t>VÄSTRA GÖTALANDS LÄN</t>
        </is>
      </c>
      <c r="G172" t="inlineStr">
        <is>
          <t>MARK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1313-2025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45667</v>
      </c>
      <c r="E173" s="1" t="n">
        <v>46223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46223</v>
      </c>
      <c r="F174" t="inlineStr">
        <is>
          <t>VÄSTRA GÖTALANDS LÄN</t>
        </is>
      </c>
      <c r="G174" t="inlineStr">
        <is>
          <t>MARK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46223</v>
      </c>
      <c r="F175" t="inlineStr">
        <is>
          <t>VÄSTRA GÖTALANDS LÄN</t>
        </is>
      </c>
      <c r="G175" t="inlineStr">
        <is>
          <t>MARK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18337-2022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46223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46223</v>
      </c>
      <c r="F177" t="inlineStr">
        <is>
          <t>VÄSTRA GÖTALANDS LÄN</t>
        </is>
      </c>
      <c r="G177" t="inlineStr">
        <is>
          <t>MARK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14692-2024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45397</v>
      </c>
      <c r="E178" s="1" t="n">
        <v>46223</v>
      </c>
      <c r="F178" t="inlineStr">
        <is>
          <t>VÄSTRA GÖTALANDS LÄN</t>
        </is>
      </c>
      <c r="G178" t="inlineStr">
        <is>
          <t>MARK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46223</v>
      </c>
      <c r="F179" t="inlineStr">
        <is>
          <t>VÄSTRA GÖTALANDS LÄN</t>
        </is>
      </c>
      <c r="G179" t="inlineStr">
        <is>
          <t>MARK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45751</v>
      </c>
      <c r="E180" s="1" t="n">
        <v>46223</v>
      </c>
      <c r="F180" t="inlineStr">
        <is>
          <t>VÄSTRA GÖTALANDS LÄN</t>
        </is>
      </c>
      <c r="G180" t="inlineStr">
        <is>
          <t>MARK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44573-2024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45574</v>
      </c>
      <c r="E181" s="1" t="n">
        <v>46223</v>
      </c>
      <c r="F181" t="inlineStr">
        <is>
          <t>VÄSTRA GÖTALANDS LÄN</t>
        </is>
      </c>
      <c r="G181" t="inlineStr">
        <is>
          <t>MARK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20896-2023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45059</v>
      </c>
      <c r="E182" s="1" t="n">
        <v>46223</v>
      </c>
      <c r="F182" t="inlineStr">
        <is>
          <t>VÄSTRA GÖTALANDS LÄN</t>
        </is>
      </c>
      <c r="G182" t="inlineStr">
        <is>
          <t>MARK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46223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58599-2022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46223</v>
      </c>
      <c r="F184" t="inlineStr">
        <is>
          <t>VÄSTRA GÖTALANDS LÄN</t>
        </is>
      </c>
      <c r="G184" t="inlineStr">
        <is>
          <t>MARK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46223</v>
      </c>
      <c r="F185" t="inlineStr">
        <is>
          <t>VÄSTRA GÖTALANDS LÄN</t>
        </is>
      </c>
      <c r="G185" t="inlineStr">
        <is>
          <t>MARK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46223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61247-2023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46223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61250-2023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45264</v>
      </c>
      <c r="E188" s="1" t="n">
        <v>46223</v>
      </c>
      <c r="F188" t="inlineStr">
        <is>
          <t>VÄSTRA GÖTALANDS LÄN</t>
        </is>
      </c>
      <c r="G188" t="inlineStr">
        <is>
          <t>MARK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46223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43750-2024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46223</v>
      </c>
      <c r="F190" t="inlineStr">
        <is>
          <t>VÄSTRA GÖTALANDS LÄN</t>
        </is>
      </c>
      <c r="G190" t="inlineStr">
        <is>
          <t>MARK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10902-2024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45370</v>
      </c>
      <c r="E191" s="1" t="n">
        <v>46223</v>
      </c>
      <c r="F191" t="inlineStr">
        <is>
          <t>VÄSTRA GÖTALANDS LÄN</t>
        </is>
      </c>
      <c r="G191" t="inlineStr">
        <is>
          <t>MARK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3655-2023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44950</v>
      </c>
      <c r="E192" s="1" t="n">
        <v>46223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46223</v>
      </c>
      <c r="F193" t="inlineStr">
        <is>
          <t>VÄSTRA GÖTALANDS LÄN</t>
        </is>
      </c>
      <c r="G193" t="inlineStr">
        <is>
          <t>MARK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46223</v>
      </c>
      <c r="F194" t="inlineStr">
        <is>
          <t>VÄSTRA GÖTALANDS LÄN</t>
        </is>
      </c>
      <c r="G194" t="inlineStr">
        <is>
          <t>MARK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35390-2025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46223</v>
      </c>
      <c r="F195" t="inlineStr">
        <is>
          <t>VÄSTRA GÖTALANDS LÄN</t>
        </is>
      </c>
      <c r="G195" t="inlineStr">
        <is>
          <t>MARK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46223</v>
      </c>
      <c r="F196" t="inlineStr">
        <is>
          <t>VÄSTRA GÖTALANDS LÄN</t>
        </is>
      </c>
      <c r="G196" t="inlineStr">
        <is>
          <t>MARK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35393-2025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46223</v>
      </c>
      <c r="F197" t="inlineStr">
        <is>
          <t>VÄSTRA GÖTALANDS LÄN</t>
        </is>
      </c>
      <c r="G197" t="inlineStr">
        <is>
          <t>MARK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46223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42542-2024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46223</v>
      </c>
      <c r="F199" t="inlineStr">
        <is>
          <t>VÄSTRA GÖTALANDS LÄN</t>
        </is>
      </c>
      <c r="G199" t="inlineStr">
        <is>
          <t>MARK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46048</v>
      </c>
      <c r="E200" s="1" t="n">
        <v>46223</v>
      </c>
      <c r="F200" t="inlineStr">
        <is>
          <t>VÄSTRA GÖTALANDS LÄN</t>
        </is>
      </c>
      <c r="G200" t="inlineStr">
        <is>
          <t>MARK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20415-2025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46223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40858-2021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46223</v>
      </c>
      <c r="F202" t="inlineStr">
        <is>
          <t>VÄSTRA GÖTALANDS LÄN</t>
        </is>
      </c>
      <c r="G202" t="inlineStr">
        <is>
          <t>MARK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46223</v>
      </c>
      <c r="F203" t="inlineStr">
        <is>
          <t>VÄSTRA GÖTALANDS LÄN</t>
        </is>
      </c>
      <c r="G203" t="inlineStr">
        <is>
          <t>MARK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46223</v>
      </c>
      <c r="F204" t="inlineStr">
        <is>
          <t>VÄSTRA GÖTALANDS LÄN</t>
        </is>
      </c>
      <c r="G204" t="inlineStr">
        <is>
          <t>MARK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46223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39858-2025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46223</v>
      </c>
      <c r="F206" t="inlineStr">
        <is>
          <t>VÄSTRA GÖTALANDS LÄN</t>
        </is>
      </c>
      <c r="G206" t="inlineStr">
        <is>
          <t>MARK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46223</v>
      </c>
      <c r="F207" t="inlineStr">
        <is>
          <t>VÄSTRA GÖTALANDS LÄN</t>
        </is>
      </c>
      <c r="G207" t="inlineStr">
        <is>
          <t>MARK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40631-2025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46223</v>
      </c>
      <c r="F208" t="inlineStr">
        <is>
          <t>VÄSTRA GÖTALANDS LÄN</t>
        </is>
      </c>
      <c r="G208" t="inlineStr">
        <is>
          <t>MARK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47405-2024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46223</v>
      </c>
      <c r="F209" t="inlineStr">
        <is>
          <t>VÄSTRA GÖTALANDS LÄN</t>
        </is>
      </c>
      <c r="G209" t="inlineStr">
        <is>
          <t>MARK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40258-2025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46223</v>
      </c>
      <c r="F210" t="inlineStr">
        <is>
          <t>VÄSTRA GÖTALANDS LÄN</t>
        </is>
      </c>
      <c r="G210" t="inlineStr">
        <is>
          <t>MARK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46223</v>
      </c>
      <c r="F211" t="inlineStr">
        <is>
          <t>VÄSTRA GÖTALANDS LÄN</t>
        </is>
      </c>
      <c r="G211" t="inlineStr">
        <is>
          <t>MARK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46223</v>
      </c>
      <c r="F212" t="inlineStr">
        <is>
          <t>VÄSTRA GÖTALANDS LÄN</t>
        </is>
      </c>
      <c r="G212" t="inlineStr">
        <is>
          <t>MARK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40609-2025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45896</v>
      </c>
      <c r="E213" s="1" t="n">
        <v>46223</v>
      </c>
      <c r="F213" t="inlineStr">
        <is>
          <t>VÄSTRA GÖTALANDS LÄN</t>
        </is>
      </c>
      <c r="G213" t="inlineStr">
        <is>
          <t>MARK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36300-2024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46223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14128-2025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46223</v>
      </c>
      <c r="F215" t="inlineStr">
        <is>
          <t>VÄSTRA GÖTALANDS LÄN</t>
        </is>
      </c>
      <c r="G215" t="inlineStr">
        <is>
          <t>MARK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46223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46223</v>
      </c>
      <c r="F217" t="inlineStr">
        <is>
          <t>VÄSTRA GÖTALANDS LÄN</t>
        </is>
      </c>
      <c r="G217" t="inlineStr">
        <is>
          <t>MARK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14546-2025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46223</v>
      </c>
      <c r="F218" t="inlineStr">
        <is>
          <t>VÄSTRA GÖTALANDS LÄN</t>
        </is>
      </c>
      <c r="G218" t="inlineStr">
        <is>
          <t>MARK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46223</v>
      </c>
      <c r="F219" t="inlineStr">
        <is>
          <t>VÄSTRA GÖTALANDS LÄN</t>
        </is>
      </c>
      <c r="G219" t="inlineStr">
        <is>
          <t>MARK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40965-2025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46223</v>
      </c>
      <c r="F220" t="inlineStr">
        <is>
          <t>VÄSTRA GÖTALANDS LÄN</t>
        </is>
      </c>
      <c r="G220" t="inlineStr">
        <is>
          <t>MARK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46223</v>
      </c>
      <c r="F221" t="inlineStr">
        <is>
          <t>VÄSTRA GÖTALANDS LÄN</t>
        </is>
      </c>
      <c r="G221" t="inlineStr">
        <is>
          <t>MARK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14999-2025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46223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46223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15448-2022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44660</v>
      </c>
      <c r="E224" s="1" t="n">
        <v>46223</v>
      </c>
      <c r="F224" t="inlineStr">
        <is>
          <t>VÄSTRA GÖTALANDS LÄN</t>
        </is>
      </c>
      <c r="G224" t="inlineStr">
        <is>
          <t>MARK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9890-2025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45716</v>
      </c>
      <c r="E225" s="1" t="n">
        <v>46223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15023-2025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46223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46223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46046</v>
      </c>
      <c r="E228" s="1" t="n">
        <v>46223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44596</v>
      </c>
      <c r="E229" s="1" t="n">
        <v>46223</v>
      </c>
      <c r="F229" t="inlineStr">
        <is>
          <t>VÄSTRA GÖTALANDS LÄN</t>
        </is>
      </c>
      <c r="G229" t="inlineStr">
        <is>
          <t>MARK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13927-2025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46223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46223</v>
      </c>
      <c r="F231" t="inlineStr">
        <is>
          <t>VÄSTRA GÖTALANDS LÄN</t>
        </is>
      </c>
      <c r="G231" t="inlineStr">
        <is>
          <t>MARK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41136-2025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46223</v>
      </c>
      <c r="F232" t="inlineStr">
        <is>
          <t>VÄSTRA GÖTALANDS LÄN</t>
        </is>
      </c>
      <c r="G232" t="inlineStr">
        <is>
          <t>MARK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46223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53004-2021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44467</v>
      </c>
      <c r="E234" s="1" t="n">
        <v>46223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46223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16710-2022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44673</v>
      </c>
      <c r="E236" s="1" t="n">
        <v>46223</v>
      </c>
      <c r="F236" t="inlineStr">
        <is>
          <t>VÄSTRA GÖTALANDS LÄN</t>
        </is>
      </c>
      <c r="G236" t="inlineStr">
        <is>
          <t>MARK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25560-2022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44732</v>
      </c>
      <c r="E237" s="1" t="n">
        <v>46223</v>
      </c>
      <c r="F237" t="inlineStr">
        <is>
          <t>VÄSTRA GÖTALANDS LÄN</t>
        </is>
      </c>
      <c r="G237" t="inlineStr">
        <is>
          <t>MARK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61120-2023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46223</v>
      </c>
      <c r="F238" t="inlineStr">
        <is>
          <t>VÄSTRA GÖTALANDS LÄN</t>
        </is>
      </c>
      <c r="G238" t="inlineStr">
        <is>
          <t>MARK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46223</v>
      </c>
      <c r="F239" t="inlineStr">
        <is>
          <t>VÄSTRA GÖTALANDS LÄN</t>
        </is>
      </c>
      <c r="G239" t="inlineStr">
        <is>
          <t>MARK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44589</v>
      </c>
      <c r="E240" s="1" t="n">
        <v>46223</v>
      </c>
      <c r="F240" t="inlineStr">
        <is>
          <t>VÄSTRA GÖTALANDS LÄN</t>
        </is>
      </c>
      <c r="G240" t="inlineStr">
        <is>
          <t>MARK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9557-2023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46223</v>
      </c>
      <c r="F241" t="inlineStr">
        <is>
          <t>VÄSTRA GÖTALANDS LÄN</t>
        </is>
      </c>
      <c r="G241" t="inlineStr">
        <is>
          <t>MARK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46223</v>
      </c>
      <c r="F242" t="inlineStr">
        <is>
          <t>VÄSTRA GÖTALANDS LÄN</t>
        </is>
      </c>
      <c r="G242" t="inlineStr">
        <is>
          <t>MARK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31856-2025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46223</v>
      </c>
      <c r="F243" t="inlineStr">
        <is>
          <t>VÄSTRA GÖTALANDS LÄN</t>
        </is>
      </c>
      <c r="G243" t="inlineStr">
        <is>
          <t>MARK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31454-2025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46223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46223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Sveaskog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42521-2025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46223</v>
      </c>
      <c r="F246" t="inlineStr">
        <is>
          <t>VÄSTRA GÖTALANDS LÄN</t>
        </is>
      </c>
      <c r="G246" t="inlineStr">
        <is>
          <t>MARK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14132-2024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46223</v>
      </c>
      <c r="F247" t="inlineStr">
        <is>
          <t>VÄSTRA GÖTALANDS LÄN</t>
        </is>
      </c>
      <c r="G247" t="inlineStr">
        <is>
          <t>MARK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46223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42921-2025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46223</v>
      </c>
      <c r="F249" t="inlineStr">
        <is>
          <t>VÄSTRA GÖTALANDS LÄN</t>
        </is>
      </c>
      <c r="G249" t="inlineStr">
        <is>
          <t>MARK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62375-2023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45268</v>
      </c>
      <c r="E250" s="1" t="n">
        <v>46223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43027-2025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46223</v>
      </c>
      <c r="F251" t="inlineStr">
        <is>
          <t>VÄSTRA GÖTALANDS LÄN</t>
        </is>
      </c>
      <c r="G251" t="inlineStr">
        <is>
          <t>MARK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32649-2025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46223</v>
      </c>
      <c r="F252" t="inlineStr">
        <is>
          <t>VÄSTRA GÖTALANDS LÄN</t>
        </is>
      </c>
      <c r="G252" t="inlineStr">
        <is>
          <t>MARK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32885-2025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45839</v>
      </c>
      <c r="E253" s="1" t="n">
        <v>46223</v>
      </c>
      <c r="F253" t="inlineStr">
        <is>
          <t>VÄSTRA GÖTALANDS LÄN</t>
        </is>
      </c>
      <c r="G253" t="inlineStr">
        <is>
          <t>MARK</t>
        </is>
      </c>
      <c r="H253" t="inlineStr">
        <is>
          <t>Sveaskog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46223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46223</v>
      </c>
      <c r="F255" t="inlineStr">
        <is>
          <t>VÄSTRA GÖTALANDS LÄN</t>
        </is>
      </c>
      <c r="G255" t="inlineStr">
        <is>
          <t>MARK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11331-2023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46223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57605-2022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46223</v>
      </c>
      <c r="F257" t="inlineStr">
        <is>
          <t>VÄSTRA GÖTALANDS LÄN</t>
        </is>
      </c>
      <c r="G257" t="inlineStr">
        <is>
          <t>MARK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46223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46223</v>
      </c>
      <c r="F259" t="inlineStr">
        <is>
          <t>VÄSTRA GÖTALANDS LÄN</t>
        </is>
      </c>
      <c r="G259" t="inlineStr">
        <is>
          <t>MARK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33356-2025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46223</v>
      </c>
      <c r="F260" t="inlineStr">
        <is>
          <t>VÄSTRA GÖTALANDS LÄN</t>
        </is>
      </c>
      <c r="G260" t="inlineStr">
        <is>
          <t>MARK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33365-2025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46223</v>
      </c>
      <c r="F261" t="inlineStr">
        <is>
          <t>VÄSTRA GÖTALANDS LÄN</t>
        </is>
      </c>
      <c r="G261" t="inlineStr">
        <is>
          <t>MARK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46223</v>
      </c>
      <c r="F262" t="inlineStr">
        <is>
          <t>VÄSTRA GÖTALANDS LÄN</t>
        </is>
      </c>
      <c r="G262" t="inlineStr">
        <is>
          <t>MARK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46223</v>
      </c>
      <c r="F263" t="inlineStr">
        <is>
          <t>VÄSTRA GÖTALANDS LÄN</t>
        </is>
      </c>
      <c r="G263" t="inlineStr">
        <is>
          <t>MARK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64737-2023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46223</v>
      </c>
      <c r="F264" t="inlineStr">
        <is>
          <t>VÄSTRA GÖTALANDS LÄN</t>
        </is>
      </c>
      <c r="G264" t="inlineStr">
        <is>
          <t>MARK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45986-2025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46223</v>
      </c>
      <c r="F265" t="inlineStr">
        <is>
          <t>VÄSTRA GÖTALANDS LÄN</t>
        </is>
      </c>
      <c r="G265" t="inlineStr">
        <is>
          <t>MARK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34277-2025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46223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46223</v>
      </c>
      <c r="F267" t="inlineStr">
        <is>
          <t>VÄSTRA GÖTALANDS LÄN</t>
        </is>
      </c>
      <c r="G267" t="inlineStr">
        <is>
          <t>MARK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46223</v>
      </c>
      <c r="F268" t="inlineStr">
        <is>
          <t>VÄSTRA GÖTALANDS LÄN</t>
        </is>
      </c>
      <c r="G268" t="inlineStr">
        <is>
          <t>MARK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46223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45888-2025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46223</v>
      </c>
      <c r="F270" t="inlineStr">
        <is>
          <t>VÄSTRA GÖTALANDS LÄN</t>
        </is>
      </c>
      <c r="G270" t="inlineStr">
        <is>
          <t>MARK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45897-2025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46223</v>
      </c>
      <c r="F271" t="inlineStr">
        <is>
          <t>VÄSTRA GÖTALANDS LÄN</t>
        </is>
      </c>
      <c r="G271" t="inlineStr">
        <is>
          <t>MARK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46223</v>
      </c>
      <c r="F272" t="inlineStr">
        <is>
          <t>VÄSTRA GÖTALANDS LÄN</t>
        </is>
      </c>
      <c r="G272" t="inlineStr">
        <is>
          <t>MARK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63365-2023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45274</v>
      </c>
      <c r="E273" s="1" t="n">
        <v>46223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43207-2022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44834</v>
      </c>
      <c r="E274" s="1" t="n">
        <v>46223</v>
      </c>
      <c r="F274" t="inlineStr">
        <is>
          <t>VÄSTRA GÖTALANDS LÄN</t>
        </is>
      </c>
      <c r="G274" t="inlineStr">
        <is>
          <t>MARK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34501-2025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45847</v>
      </c>
      <c r="E275" s="1" t="n">
        <v>46223</v>
      </c>
      <c r="F275" t="inlineStr">
        <is>
          <t>VÄSTRA GÖTALANDS LÄN</t>
        </is>
      </c>
      <c r="G275" t="inlineStr">
        <is>
          <t>MARK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46223</v>
      </c>
      <c r="F276" t="inlineStr">
        <is>
          <t>VÄSTRA GÖTALANDS LÄN</t>
        </is>
      </c>
      <c r="G276" t="inlineStr">
        <is>
          <t>MARK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60127-2024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46223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13114-2025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46223</v>
      </c>
      <c r="F278" t="inlineStr">
        <is>
          <t>VÄSTRA GÖTALANDS LÄN</t>
        </is>
      </c>
      <c r="G278" t="inlineStr">
        <is>
          <t>MARK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26565-2025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45807</v>
      </c>
      <c r="E279" s="1" t="n">
        <v>46223</v>
      </c>
      <c r="F279" t="inlineStr">
        <is>
          <t>VÄSTRA GÖTALANDS LÄN</t>
        </is>
      </c>
      <c r="G279" t="inlineStr">
        <is>
          <t>MARK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45849</v>
      </c>
      <c r="E280" s="1" t="n">
        <v>46223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45294</v>
      </c>
      <c r="E281" s="1" t="n">
        <v>46223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46511-2025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45925</v>
      </c>
      <c r="E282" s="1" t="n">
        <v>46223</v>
      </c>
      <c r="F282" t="inlineStr">
        <is>
          <t>VÄSTRA GÖTALANDS LÄN</t>
        </is>
      </c>
      <c r="G282" t="inlineStr">
        <is>
          <t>MARK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46512-2025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45925</v>
      </c>
      <c r="E283" s="1" t="n">
        <v>46223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46223</v>
      </c>
      <c r="F284" t="inlineStr">
        <is>
          <t>VÄSTRA GÖTALANDS LÄN</t>
        </is>
      </c>
      <c r="G284" t="inlineStr">
        <is>
          <t>MARK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69289-2021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46223</v>
      </c>
      <c r="F285" t="inlineStr">
        <is>
          <t>VÄSTRA GÖTALANDS LÄN</t>
        </is>
      </c>
      <c r="G285" t="inlineStr">
        <is>
          <t>MARK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46223</v>
      </c>
      <c r="F286" t="inlineStr">
        <is>
          <t>VÄSTRA GÖTALANDS LÄN</t>
        </is>
      </c>
      <c r="G286" t="inlineStr">
        <is>
          <t>MARK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46290-2025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46223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46294-2025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46223</v>
      </c>
      <c r="F288" t="inlineStr">
        <is>
          <t>VÄSTRA GÖTALANDS LÄN</t>
        </is>
      </c>
      <c r="G288" t="inlineStr">
        <is>
          <t>MARK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35313-2025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46223</v>
      </c>
      <c r="F289" t="inlineStr">
        <is>
          <t>VÄSTRA GÖTALANDS LÄN</t>
        </is>
      </c>
      <c r="G289" t="inlineStr">
        <is>
          <t>MARK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59926-2022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46223</v>
      </c>
      <c r="F290" t="inlineStr">
        <is>
          <t>VÄSTRA GÖTALANDS LÄN</t>
        </is>
      </c>
      <c r="G290" t="inlineStr">
        <is>
          <t>MARK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32513-2025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46223</v>
      </c>
      <c r="F291" t="inlineStr">
        <is>
          <t>VÄSTRA GÖTALANDS LÄN</t>
        </is>
      </c>
      <c r="G291" t="inlineStr">
        <is>
          <t>MARK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46223</v>
      </c>
      <c r="F292" t="inlineStr">
        <is>
          <t>VÄSTRA GÖTALANDS LÄN</t>
        </is>
      </c>
      <c r="G292" t="inlineStr">
        <is>
          <t>MARK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35383-2025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46223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46223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35384-2025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46223</v>
      </c>
      <c r="F295" t="inlineStr">
        <is>
          <t>VÄSTRA GÖTALANDS LÄN</t>
        </is>
      </c>
      <c r="G295" t="inlineStr">
        <is>
          <t>MARK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46223</v>
      </c>
      <c r="F296" t="inlineStr">
        <is>
          <t>VÄSTRA GÖTALANDS LÄN</t>
        </is>
      </c>
      <c r="G296" t="inlineStr">
        <is>
          <t>MARK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46223</v>
      </c>
      <c r="F297" t="inlineStr">
        <is>
          <t>VÄSTRA GÖTALANDS LÄN</t>
        </is>
      </c>
      <c r="G297" t="inlineStr">
        <is>
          <t>MARK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6745-2026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46223</v>
      </c>
      <c r="F298" t="inlineStr">
        <is>
          <t>VÄSTRA GÖTALANDS LÄN</t>
        </is>
      </c>
      <c r="G298" t="inlineStr">
        <is>
          <t>MARK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35915-2025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45862</v>
      </c>
      <c r="E299" s="1" t="n">
        <v>46223</v>
      </c>
      <c r="F299" t="inlineStr">
        <is>
          <t>VÄSTRA GÖTALANDS LÄN</t>
        </is>
      </c>
      <c r="G299" t="inlineStr">
        <is>
          <t>MARK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56194-2024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46223</v>
      </c>
      <c r="F300" t="inlineStr">
        <is>
          <t>VÄSTRA GÖTALANDS LÄN</t>
        </is>
      </c>
      <c r="G300" t="inlineStr">
        <is>
          <t>MARK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56221-2024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46223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46223</v>
      </c>
      <c r="F302" t="inlineStr">
        <is>
          <t>VÄSTRA GÖTALANDS LÄN</t>
        </is>
      </c>
      <c r="G302" t="inlineStr">
        <is>
          <t>MARK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47830-2025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46223</v>
      </c>
      <c r="F303" t="inlineStr">
        <is>
          <t>VÄSTRA GÖTALANDS LÄN</t>
        </is>
      </c>
      <c r="G303" t="inlineStr">
        <is>
          <t>MARK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35903-2025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45862</v>
      </c>
      <c r="E304" s="1" t="n">
        <v>46223</v>
      </c>
      <c r="F304" t="inlineStr">
        <is>
          <t>VÄSTRA GÖTALANDS LÄN</t>
        </is>
      </c>
      <c r="G304" t="inlineStr">
        <is>
          <t>MARK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36230-2025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45867</v>
      </c>
      <c r="E305" s="1" t="n">
        <v>46223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46223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36270-2025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46223</v>
      </c>
      <c r="F307" t="inlineStr">
        <is>
          <t>VÄSTRA GÖTALANDS LÄN</t>
        </is>
      </c>
      <c r="G307" t="inlineStr">
        <is>
          <t>MARK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46223</v>
      </c>
      <c r="F308" t="inlineStr">
        <is>
          <t>VÄSTRA GÖTALANDS LÄN</t>
        </is>
      </c>
      <c r="G308" t="inlineStr">
        <is>
          <t>MARK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48759-2025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46223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46223</v>
      </c>
      <c r="F310" t="inlineStr">
        <is>
          <t>VÄSTRA GÖTALANDS LÄN</t>
        </is>
      </c>
      <c r="G310" t="inlineStr">
        <is>
          <t>MARK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16538-2023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46223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16539-2023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46223</v>
      </c>
      <c r="F312" t="inlineStr">
        <is>
          <t>VÄSTRA GÖTALANDS LÄN</t>
        </is>
      </c>
      <c r="G312" t="inlineStr">
        <is>
          <t>MARK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58397-2022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44901</v>
      </c>
      <c r="E313" s="1" t="n">
        <v>46223</v>
      </c>
      <c r="F313" t="inlineStr">
        <is>
          <t>VÄSTRA GÖTALANDS LÄN</t>
        </is>
      </c>
      <c r="G313" t="inlineStr">
        <is>
          <t>MARK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46223</v>
      </c>
      <c r="F314" t="inlineStr">
        <is>
          <t>VÄSTRA GÖTALANDS LÄN</t>
        </is>
      </c>
      <c r="G314" t="inlineStr">
        <is>
          <t>MARK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46223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45324</v>
      </c>
      <c r="E316" s="1" t="n">
        <v>46223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46223</v>
      </c>
      <c r="F317" t="inlineStr">
        <is>
          <t>VÄSTRA GÖTALANDS LÄN</t>
        </is>
      </c>
      <c r="G317" t="inlineStr">
        <is>
          <t>MARK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46223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45913-2024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45580</v>
      </c>
      <c r="E319" s="1" t="n">
        <v>46223</v>
      </c>
      <c r="F319" t="inlineStr">
        <is>
          <t>VÄSTRA GÖTALANDS LÄN</t>
        </is>
      </c>
      <c r="G319" t="inlineStr">
        <is>
          <t>MARK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32888-2023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46223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46223</v>
      </c>
      <c r="F321" t="inlineStr">
        <is>
          <t>VÄSTRA GÖTALANDS LÄN</t>
        </is>
      </c>
      <c r="G321" t="inlineStr">
        <is>
          <t>MARK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44944</v>
      </c>
      <c r="E322" s="1" t="n">
        <v>46223</v>
      </c>
      <c r="F322" t="inlineStr">
        <is>
          <t>VÄSTRA GÖTALANDS LÄN</t>
        </is>
      </c>
      <c r="G322" t="inlineStr">
        <is>
          <t>MARK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58398-2022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44901</v>
      </c>
      <c r="E323" s="1" t="n">
        <v>46223</v>
      </c>
      <c r="F323" t="inlineStr">
        <is>
          <t>VÄSTRA GÖTALANDS LÄN</t>
        </is>
      </c>
      <c r="G323" t="inlineStr">
        <is>
          <t>MARK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62999-2023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46223</v>
      </c>
      <c r="F324" t="inlineStr">
        <is>
          <t>VÄSTRA GÖTALANDS LÄN</t>
        </is>
      </c>
      <c r="G324" t="inlineStr">
        <is>
          <t>MARK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33266-2023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46223</v>
      </c>
      <c r="F325" t="inlineStr">
        <is>
          <t>VÄSTRA GÖTALANDS LÄN</t>
        </is>
      </c>
      <c r="G325" t="inlineStr">
        <is>
          <t>MARK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45672</v>
      </c>
      <c r="E326" s="1" t="n">
        <v>46223</v>
      </c>
      <c r="F326" t="inlineStr">
        <is>
          <t>VÄSTRA GÖTALANDS LÄN</t>
        </is>
      </c>
      <c r="G326" t="inlineStr">
        <is>
          <t>MARK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46223</v>
      </c>
      <c r="F327" t="inlineStr">
        <is>
          <t>VÄSTRA GÖTALANDS LÄN</t>
        </is>
      </c>
      <c r="G327" t="inlineStr">
        <is>
          <t>MARK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23385-2023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46223</v>
      </c>
      <c r="F328" t="inlineStr">
        <is>
          <t>VÄSTRA GÖTALANDS LÄN</t>
        </is>
      </c>
      <c r="G328" t="inlineStr">
        <is>
          <t>MARK</t>
        </is>
      </c>
      <c r="I328" t="n">
        <v>11.8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36652-2025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45872</v>
      </c>
      <c r="E329" s="1" t="n">
        <v>46223</v>
      </c>
      <c r="F329" t="inlineStr">
        <is>
          <t>VÄSTRA GÖTALANDS LÄN</t>
        </is>
      </c>
      <c r="G329" t="inlineStr">
        <is>
          <t>MARK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51495-2022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46223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48909-2025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46223</v>
      </c>
      <c r="F331" t="inlineStr">
        <is>
          <t>VÄSTRA GÖTALANDS LÄN</t>
        </is>
      </c>
      <c r="G331" t="inlineStr">
        <is>
          <t>MARK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8920-2023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44973</v>
      </c>
      <c r="E332" s="1" t="n">
        <v>46223</v>
      </c>
      <c r="F332" t="inlineStr">
        <is>
          <t>VÄSTRA GÖTALANDS LÄN</t>
        </is>
      </c>
      <c r="G332" t="inlineStr">
        <is>
          <t>MARK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12138-2023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46223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54226-2022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46223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43474-2024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45568</v>
      </c>
      <c r="E335" s="1" t="n">
        <v>46223</v>
      </c>
      <c r="F335" t="inlineStr">
        <is>
          <t>VÄSTRA GÖTALANDS LÄN</t>
        </is>
      </c>
      <c r="G335" t="inlineStr">
        <is>
          <t>MARK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36659-2022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46223</v>
      </c>
      <c r="F336" t="inlineStr">
        <is>
          <t>VÄSTRA GÖTALANDS LÄN</t>
        </is>
      </c>
      <c r="G336" t="inlineStr">
        <is>
          <t>MARK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46223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32182-2023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46223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29099-2025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46223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45875</v>
      </c>
      <c r="E340" s="1" t="n">
        <v>46223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6780-2026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46223</v>
      </c>
      <c r="F341" t="inlineStr">
        <is>
          <t>VÄSTRA GÖTALANDS LÄN</t>
        </is>
      </c>
      <c r="G341" t="inlineStr">
        <is>
          <t>MARK</t>
        </is>
      </c>
      <c r="I341" t="n">
        <v>13.1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37153-2025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46223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37164-2025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46223</v>
      </c>
      <c r="F343" t="inlineStr">
        <is>
          <t>VÄSTRA GÖTALANDS LÄN</t>
        </is>
      </c>
      <c r="G343" t="inlineStr">
        <is>
          <t>MARK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50222-2025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46223</v>
      </c>
      <c r="F344" t="inlineStr">
        <is>
          <t>VÄSTRA GÖTALANDS LÄN</t>
        </is>
      </c>
      <c r="G344" t="inlineStr">
        <is>
          <t>MARK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37060-2025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45875</v>
      </c>
      <c r="E345" s="1" t="n">
        <v>46223</v>
      </c>
      <c r="F345" t="inlineStr">
        <is>
          <t>VÄSTRA GÖTALANDS LÄN</t>
        </is>
      </c>
      <c r="G345" t="inlineStr">
        <is>
          <t>MARK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61512-2024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46223</v>
      </c>
      <c r="F346" t="inlineStr">
        <is>
          <t>VÄSTRA GÖTALANDS LÄN</t>
        </is>
      </c>
      <c r="G346" t="inlineStr">
        <is>
          <t>MARK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50240-2025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45943</v>
      </c>
      <c r="E347" s="1" t="n">
        <v>46223</v>
      </c>
      <c r="F347" t="inlineStr">
        <is>
          <t>VÄSTRA GÖTALANDS LÄN</t>
        </is>
      </c>
      <c r="G347" t="inlineStr">
        <is>
          <t>MARK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45351-2025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45922</v>
      </c>
      <c r="E348" s="1" t="n">
        <v>46223</v>
      </c>
      <c r="F348" t="inlineStr">
        <is>
          <t>VÄSTRA GÖTALANDS LÄN</t>
        </is>
      </c>
      <c r="G348" t="inlineStr">
        <is>
          <t>MARK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45353-2025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46223</v>
      </c>
      <c r="F349" t="inlineStr">
        <is>
          <t>VÄSTRA GÖTALANDS LÄN</t>
        </is>
      </c>
      <c r="G349" t="inlineStr">
        <is>
          <t>MARK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46223</v>
      </c>
      <c r="F350" t="inlineStr">
        <is>
          <t>VÄSTRA GÖTALANDS LÄN</t>
        </is>
      </c>
      <c r="G350" t="inlineStr">
        <is>
          <t>MARK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34162-2023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45137</v>
      </c>
      <c r="E351" s="1" t="n">
        <v>46223</v>
      </c>
      <c r="F351" t="inlineStr">
        <is>
          <t>VÄSTRA GÖTALANDS LÄN</t>
        </is>
      </c>
      <c r="G351" t="inlineStr">
        <is>
          <t>MARK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35431-2022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44798</v>
      </c>
      <c r="E352" s="1" t="n">
        <v>46223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46223</v>
      </c>
      <c r="F353" t="inlineStr">
        <is>
          <t>VÄSTRA GÖTALANDS LÄN</t>
        </is>
      </c>
      <c r="G353" t="inlineStr">
        <is>
          <t>MARK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57891-2024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46223</v>
      </c>
      <c r="F354" t="inlineStr">
        <is>
          <t>VÄSTRA GÖTALANDS LÄN</t>
        </is>
      </c>
      <c r="G354" t="inlineStr">
        <is>
          <t>MARK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46223</v>
      </c>
      <c r="F355" t="inlineStr">
        <is>
          <t>VÄSTRA GÖTALANDS LÄN</t>
        </is>
      </c>
      <c r="G355" t="inlineStr">
        <is>
          <t>MARK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23326-2022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44720</v>
      </c>
      <c r="E356" s="1" t="n">
        <v>46223</v>
      </c>
      <c r="F356" t="inlineStr">
        <is>
          <t>VÄSTRA GÖTALANDS LÄN</t>
        </is>
      </c>
      <c r="G356" t="inlineStr">
        <is>
          <t>MARK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46223</v>
      </c>
      <c r="F357" t="inlineStr">
        <is>
          <t>VÄSTRA GÖTALANDS LÄN</t>
        </is>
      </c>
      <c r="G357" t="inlineStr">
        <is>
          <t>MARK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28285-2023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46223</v>
      </c>
      <c r="F358" t="inlineStr">
        <is>
          <t>VÄSTRA GÖTALANDS LÄN</t>
        </is>
      </c>
      <c r="G358" t="inlineStr">
        <is>
          <t>MARK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19709-2022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44694</v>
      </c>
      <c r="E359" s="1" t="n">
        <v>46223</v>
      </c>
      <c r="F359" t="inlineStr">
        <is>
          <t>VÄSTRA GÖTALANDS LÄN</t>
        </is>
      </c>
      <c r="G359" t="inlineStr">
        <is>
          <t>MARK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46062</v>
      </c>
      <c r="E360" s="1" t="n">
        <v>46223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17023-2023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46223</v>
      </c>
      <c r="F361" t="inlineStr">
        <is>
          <t>VÄSTRA GÖTALANDS LÄN</t>
        </is>
      </c>
      <c r="G361" t="inlineStr">
        <is>
          <t>MARK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46223</v>
      </c>
      <c r="F362" t="inlineStr">
        <is>
          <t>VÄSTRA GÖTALANDS LÄN</t>
        </is>
      </c>
      <c r="G362" t="inlineStr">
        <is>
          <t>MARK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38587-2025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46223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52200-2025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46223</v>
      </c>
      <c r="F364" t="inlineStr">
        <is>
          <t>VÄSTRA GÖTALANDS LÄN</t>
        </is>
      </c>
      <c r="G364" t="inlineStr">
        <is>
          <t>MARK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52198-2025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46223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11576-2024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46223</v>
      </c>
      <c r="F366" t="inlineStr">
        <is>
          <t>VÄSTRA GÖTALANDS LÄN</t>
        </is>
      </c>
      <c r="G366" t="inlineStr">
        <is>
          <t>MARK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16716-2023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46223</v>
      </c>
      <c r="F367" t="inlineStr">
        <is>
          <t>VÄSTRA GÖTALANDS LÄN</t>
        </is>
      </c>
      <c r="G367" t="inlineStr">
        <is>
          <t>MARK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30577-2022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44762</v>
      </c>
      <c r="E368" s="1" t="n">
        <v>46223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34653-2023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46223</v>
      </c>
      <c r="F369" t="inlineStr">
        <is>
          <t>VÄSTRA GÖTALANDS LÄN</t>
        </is>
      </c>
      <c r="G369" t="inlineStr">
        <is>
          <t>MARK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46223</v>
      </c>
      <c r="F370" t="inlineStr">
        <is>
          <t>VÄSTRA GÖTALANDS LÄN</t>
        </is>
      </c>
      <c r="G370" t="inlineStr">
        <is>
          <t>MARK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37095-2022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46223</v>
      </c>
      <c r="F371" t="inlineStr">
        <is>
          <t>VÄSTRA GÖTALANDS LÄN</t>
        </is>
      </c>
      <c r="G371" t="inlineStr">
        <is>
          <t>MARK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46223</v>
      </c>
      <c r="F372" t="inlineStr">
        <is>
          <t>VÄSTRA GÖTALANDS LÄN</t>
        </is>
      </c>
      <c r="G372" t="inlineStr">
        <is>
          <t>MARK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53330-2025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45959</v>
      </c>
      <c r="E373" s="1" t="n">
        <v>46223</v>
      </c>
      <c r="F373" t="inlineStr">
        <is>
          <t>VÄSTRA GÖTALANDS LÄN</t>
        </is>
      </c>
      <c r="G373" t="inlineStr">
        <is>
          <t>MARK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46223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46223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59161-2024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45637</v>
      </c>
      <c r="E376" s="1" t="n">
        <v>46223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10138-2025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46223</v>
      </c>
      <c r="F377" t="inlineStr">
        <is>
          <t>VÄSTRA GÖTALANDS LÄN</t>
        </is>
      </c>
      <c r="G377" t="inlineStr">
        <is>
          <t>MARK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54576-2025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46223</v>
      </c>
      <c r="F378" t="inlineStr">
        <is>
          <t>VÄSTRA GÖTALANDS LÄN</t>
        </is>
      </c>
      <c r="G378" t="inlineStr">
        <is>
          <t>MARK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46223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45750</v>
      </c>
      <c r="E380" s="1" t="n">
        <v>46223</v>
      </c>
      <c r="F380" t="inlineStr">
        <is>
          <t>VÄSTRA GÖTALANDS LÄN</t>
        </is>
      </c>
      <c r="G380" t="inlineStr">
        <is>
          <t>MARK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42822-2021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44430</v>
      </c>
      <c r="E381" s="1" t="n">
        <v>46223</v>
      </c>
      <c r="F381" t="inlineStr">
        <is>
          <t>VÄSTRA GÖTALANDS LÄN</t>
        </is>
      </c>
      <c r="G381" t="inlineStr">
        <is>
          <t>MARK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12313-2024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45378</v>
      </c>
      <c r="E382" s="1" t="n">
        <v>46223</v>
      </c>
      <c r="F382" t="inlineStr">
        <is>
          <t>VÄSTRA GÖTALANDS LÄN</t>
        </is>
      </c>
      <c r="G382" t="inlineStr">
        <is>
          <t>MARK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56858-2025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46223</v>
      </c>
      <c r="F383" t="inlineStr">
        <is>
          <t>VÄSTRA GÖTALANDS LÄN</t>
        </is>
      </c>
      <c r="G383" t="inlineStr">
        <is>
          <t>MARK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15864-2023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46223</v>
      </c>
      <c r="F384" t="inlineStr">
        <is>
          <t>VÄSTRA GÖTALANDS LÄN</t>
        </is>
      </c>
      <c r="G384" t="inlineStr">
        <is>
          <t>MARK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46223</v>
      </c>
      <c r="F385" t="inlineStr">
        <is>
          <t>VÄSTRA GÖTALANDS LÄN</t>
        </is>
      </c>
      <c r="G385" t="inlineStr">
        <is>
          <t>MARK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56796-2025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46223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46223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11675-2026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46223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46223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11549-2026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46084</v>
      </c>
      <c r="E390" s="1" t="n">
        <v>46223</v>
      </c>
      <c r="F390" t="inlineStr">
        <is>
          <t>VÄSTRA GÖTALANDS LÄN</t>
        </is>
      </c>
      <c r="G390" t="inlineStr">
        <is>
          <t>MARK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46223</v>
      </c>
      <c r="F391" t="inlineStr">
        <is>
          <t>VÄSTRA GÖTALANDS LÄN</t>
        </is>
      </c>
      <c r="G391" t="inlineStr">
        <is>
          <t>MARK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57528-2025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46223</v>
      </c>
      <c r="F392" t="inlineStr">
        <is>
          <t>VÄSTRA GÖTALANDS LÄN</t>
        </is>
      </c>
      <c r="G392" t="inlineStr">
        <is>
          <t>MARK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11551-2026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46223</v>
      </c>
      <c r="F393" t="inlineStr">
        <is>
          <t>VÄSTRA GÖTALANDS LÄN</t>
        </is>
      </c>
      <c r="G393" t="inlineStr">
        <is>
          <t>MARK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46223</v>
      </c>
      <c r="F394" t="inlineStr">
        <is>
          <t>VÄSTRA GÖTALANDS LÄN</t>
        </is>
      </c>
      <c r="G394" t="inlineStr">
        <is>
          <t>MARK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27691-2024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46223</v>
      </c>
      <c r="F395" t="inlineStr">
        <is>
          <t>VÄSTRA GÖTALANDS LÄN</t>
        </is>
      </c>
      <c r="G395" t="inlineStr">
        <is>
          <t>MARK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46223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Sveaskog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57993-2025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46223</v>
      </c>
      <c r="F397" t="inlineStr">
        <is>
          <t>VÄSTRA GÖTALANDS LÄN</t>
        </is>
      </c>
      <c r="G397" t="inlineStr">
        <is>
          <t>MARK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61379-2023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46223</v>
      </c>
      <c r="F398" t="inlineStr">
        <is>
          <t>VÄSTRA GÖTALANDS LÄN</t>
        </is>
      </c>
      <c r="G398" t="inlineStr">
        <is>
          <t>MARK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58640-2025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46223</v>
      </c>
      <c r="F399" t="inlineStr">
        <is>
          <t>VÄSTRA GÖTALANDS LÄN</t>
        </is>
      </c>
      <c r="G399" t="inlineStr">
        <is>
          <t>MARK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16987-2025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45755</v>
      </c>
      <c r="E400" s="1" t="n">
        <v>46223</v>
      </c>
      <c r="F400" t="inlineStr">
        <is>
          <t>VÄSTRA GÖTALANDS LÄN</t>
        </is>
      </c>
      <c r="G400" t="inlineStr">
        <is>
          <t>MARK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46223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54549-2021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44473</v>
      </c>
      <c r="E402" s="1" t="n">
        <v>46223</v>
      </c>
      <c r="F402" t="inlineStr">
        <is>
          <t>VÄSTRA GÖTALANDS LÄN</t>
        </is>
      </c>
      <c r="G402" t="inlineStr">
        <is>
          <t>MARK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46223</v>
      </c>
      <c r="F403" t="inlineStr">
        <is>
          <t>VÄSTRA GÖTALANDS LÄN</t>
        </is>
      </c>
      <c r="G403" t="inlineStr">
        <is>
          <t>MARK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18589-2025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45763</v>
      </c>
      <c r="E404" s="1" t="n">
        <v>46223</v>
      </c>
      <c r="F404" t="inlineStr">
        <is>
          <t>VÄSTRA GÖTALANDS LÄN</t>
        </is>
      </c>
      <c r="G404" t="inlineStr">
        <is>
          <t>MARK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18593-2025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46223</v>
      </c>
      <c r="F405" t="inlineStr">
        <is>
          <t>VÄSTRA GÖTALANDS LÄN</t>
        </is>
      </c>
      <c r="G405" t="inlineStr">
        <is>
          <t>MARK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13003-2026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46092</v>
      </c>
      <c r="E406" s="1" t="n">
        <v>46223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13589-2026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46096</v>
      </c>
      <c r="E407" s="1" t="n">
        <v>46223</v>
      </c>
      <c r="F407" t="inlineStr">
        <is>
          <t>VÄSTRA GÖTALANDS LÄN</t>
        </is>
      </c>
      <c r="G407" t="inlineStr">
        <is>
          <t>MARK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13519-2026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46223</v>
      </c>
      <c r="F408" t="inlineStr">
        <is>
          <t>VÄSTRA GÖTALANDS LÄN</t>
        </is>
      </c>
      <c r="G408" t="inlineStr">
        <is>
          <t>MARK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13601-2026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46223</v>
      </c>
      <c r="F409" t="inlineStr">
        <is>
          <t>VÄSTRA GÖTALANDS LÄN</t>
        </is>
      </c>
      <c r="G409" t="inlineStr">
        <is>
          <t>MARK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60662-2025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45996</v>
      </c>
      <c r="E410" s="1" t="n">
        <v>46223</v>
      </c>
      <c r="F410" t="inlineStr">
        <is>
          <t>VÄSTRA GÖTALANDS LÄN</t>
        </is>
      </c>
      <c r="G410" t="inlineStr">
        <is>
          <t>MARK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60790-2025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46223</v>
      </c>
      <c r="F411" t="inlineStr">
        <is>
          <t>VÄSTRA GÖTALANDS LÄN</t>
        </is>
      </c>
      <c r="G411" t="inlineStr">
        <is>
          <t>MARK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22426-2022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44713</v>
      </c>
      <c r="E412" s="1" t="n">
        <v>46223</v>
      </c>
      <c r="F412" t="inlineStr">
        <is>
          <t>VÄSTRA GÖTALANDS LÄN</t>
        </is>
      </c>
      <c r="G412" t="inlineStr">
        <is>
          <t>MARK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53832-2021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46223</v>
      </c>
      <c r="F413" t="inlineStr">
        <is>
          <t>VÄSTRA GÖTALANDS LÄN</t>
        </is>
      </c>
      <c r="G413" t="inlineStr">
        <is>
          <t>MARK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44714</v>
      </c>
      <c r="E414" s="1" t="n">
        <v>46223</v>
      </c>
      <c r="F414" t="inlineStr">
        <is>
          <t>VÄSTRA GÖTALANDS LÄN</t>
        </is>
      </c>
      <c r="G414" t="inlineStr">
        <is>
          <t>MARK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12368-2022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44637</v>
      </c>
      <c r="E415" s="1" t="n">
        <v>46223</v>
      </c>
      <c r="F415" t="inlineStr">
        <is>
          <t>VÄSTRA GÖTALANDS LÄN</t>
        </is>
      </c>
      <c r="G415" t="inlineStr">
        <is>
          <t>MARK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61059-2023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45260</v>
      </c>
      <c r="E416" s="1" t="n">
        <v>46223</v>
      </c>
      <c r="F416" t="inlineStr">
        <is>
          <t>VÄSTRA GÖTALANDS LÄN</t>
        </is>
      </c>
      <c r="G416" t="inlineStr">
        <is>
          <t>MARK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46223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46223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61282-2025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46223</v>
      </c>
      <c r="F419" t="inlineStr">
        <is>
          <t>VÄSTRA GÖTALANDS LÄN</t>
        </is>
      </c>
      <c r="G419" t="inlineStr">
        <is>
          <t>MARK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61372-2025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46223</v>
      </c>
      <c r="F420" t="inlineStr">
        <is>
          <t>VÄSTRA GÖTALANDS LÄN</t>
        </is>
      </c>
      <c r="G420" t="inlineStr">
        <is>
          <t>MARK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46223</v>
      </c>
      <c r="F421" t="inlineStr">
        <is>
          <t>VÄSTRA GÖTALANDS LÄN</t>
        </is>
      </c>
      <c r="G421" t="inlineStr">
        <is>
          <t>MARK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26852-2023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46223</v>
      </c>
      <c r="F422" t="inlineStr">
        <is>
          <t>VÄSTRA GÖTALANDS LÄN</t>
        </is>
      </c>
      <c r="G422" t="inlineStr">
        <is>
          <t>MARK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61380-2025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46223</v>
      </c>
      <c r="F423" t="inlineStr">
        <is>
          <t>VÄSTRA GÖTALANDS LÄN</t>
        </is>
      </c>
      <c r="G423" t="inlineStr">
        <is>
          <t>MARK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62088-2025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46006</v>
      </c>
      <c r="E424" s="1" t="n">
        <v>46223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62080-2025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46006</v>
      </c>
      <c r="E425" s="1" t="n">
        <v>46223</v>
      </c>
      <c r="F425" t="inlineStr">
        <is>
          <t>VÄSTRA GÖTALANDS LÄN</t>
        </is>
      </c>
      <c r="G425" t="inlineStr">
        <is>
          <t>MARK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14139-2025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46223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4139-2022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44588</v>
      </c>
      <c r="E427" s="1" t="n">
        <v>46223</v>
      </c>
      <c r="F427" t="inlineStr">
        <is>
          <t>VÄSTRA GÖTALANDS LÄN</t>
        </is>
      </c>
      <c r="G427" t="inlineStr">
        <is>
          <t>MARK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14570-2026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46223</v>
      </c>
      <c r="F428" t="inlineStr">
        <is>
          <t>VÄSTRA GÖTALANDS LÄN</t>
        </is>
      </c>
      <c r="G428" t="inlineStr">
        <is>
          <t>MARK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62660-2025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46223</v>
      </c>
      <c r="F429" t="inlineStr">
        <is>
          <t>VÄSTRA GÖTALANDS LÄN</t>
        </is>
      </c>
      <c r="G429" t="inlineStr">
        <is>
          <t>MARK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46223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62404-2025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46007</v>
      </c>
      <c r="E431" s="1" t="n">
        <v>46223</v>
      </c>
      <c r="F431" t="inlineStr">
        <is>
          <t>VÄSTRA GÖTALANDS LÄN</t>
        </is>
      </c>
      <c r="G431" t="inlineStr">
        <is>
          <t>MARK</t>
        </is>
      </c>
      <c r="I431" t="n">
        <v>13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51041-2023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46223</v>
      </c>
      <c r="F432" t="inlineStr">
        <is>
          <t>VÄSTRA GÖTALANDS LÄN</t>
        </is>
      </c>
      <c r="G432" t="inlineStr">
        <is>
          <t>MARK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20353-2023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45056</v>
      </c>
      <c r="E433" s="1" t="n">
        <v>46223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46223</v>
      </c>
      <c r="F434" t="inlineStr">
        <is>
          <t>VÄSTRA GÖTALANDS LÄN</t>
        </is>
      </c>
      <c r="G434" t="inlineStr">
        <is>
          <t>MARK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37455-2023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45156</v>
      </c>
      <c r="E435" s="1" t="n">
        <v>46223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9174-2025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46223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55604-2023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46223</v>
      </c>
      <c r="F437" t="inlineStr">
        <is>
          <t>VÄSTRA GÖTALANDS LÄN</t>
        </is>
      </c>
      <c r="G437" t="inlineStr">
        <is>
          <t>MARK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28047-2023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46223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32961-2025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45839</v>
      </c>
      <c r="E439" s="1" t="n">
        <v>46223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45709</v>
      </c>
      <c r="E440" s="1" t="n">
        <v>46223</v>
      </c>
      <c r="F440" t="inlineStr">
        <is>
          <t>VÄSTRA GÖTALANDS LÄN</t>
        </is>
      </c>
      <c r="G440" t="inlineStr">
        <is>
          <t>MARK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63418-2025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46223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63493-2025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46223</v>
      </c>
      <c r="F442" t="inlineStr">
        <is>
          <t>VÄSTRA GÖTALANDS LÄN</t>
        </is>
      </c>
      <c r="G442" t="inlineStr">
        <is>
          <t>MARK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45724</v>
      </c>
      <c r="E443" s="1" t="n">
        <v>46223</v>
      </c>
      <c r="F443" t="inlineStr">
        <is>
          <t>VÄSTRA GÖTALANDS LÄN</t>
        </is>
      </c>
      <c r="G443" t="inlineStr">
        <is>
          <t>MARK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9256-2025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46223</v>
      </c>
      <c r="F444" t="inlineStr">
        <is>
          <t>VÄSTRA GÖTALANDS LÄN</t>
        </is>
      </c>
      <c r="G444" t="inlineStr">
        <is>
          <t>MARK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7958-2025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45707</v>
      </c>
      <c r="E445" s="1" t="n">
        <v>46223</v>
      </c>
      <c r="F445" t="inlineStr">
        <is>
          <t>VÄSTRA GÖTALANDS LÄN</t>
        </is>
      </c>
      <c r="G445" t="inlineStr">
        <is>
          <t>MARK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8609-2025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45710</v>
      </c>
      <c r="E446" s="1" t="n">
        <v>46223</v>
      </c>
      <c r="F446" t="inlineStr">
        <is>
          <t>VÄSTRA GÖTALANDS LÄN</t>
        </is>
      </c>
      <c r="G446" t="inlineStr">
        <is>
          <t>MARK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4989-2025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45691</v>
      </c>
      <c r="E447" s="1" t="n">
        <v>46223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9099-2025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46223</v>
      </c>
      <c r="F448" t="inlineStr">
        <is>
          <t>VÄSTRA GÖTALANDS LÄN</t>
        </is>
      </c>
      <c r="G448" t="inlineStr">
        <is>
          <t>MARK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46223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46223</v>
      </c>
      <c r="F450" t="inlineStr">
        <is>
          <t>VÄSTRA GÖTALANDS LÄN</t>
        </is>
      </c>
      <c r="G450" t="inlineStr">
        <is>
          <t>MARK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32631-2023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46223</v>
      </c>
      <c r="F451" t="inlineStr">
        <is>
          <t>VÄSTRA GÖTALANDS LÄN</t>
        </is>
      </c>
      <c r="G451" t="inlineStr">
        <is>
          <t>MARK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59004-2021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44489</v>
      </c>
      <c r="E452" s="1" t="n">
        <v>46223</v>
      </c>
      <c r="F452" t="inlineStr">
        <is>
          <t>VÄSTRA GÖTALANDS LÄN</t>
        </is>
      </c>
      <c r="G452" t="inlineStr">
        <is>
          <t>MARK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65121-2023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45288</v>
      </c>
      <c r="E453" s="1" t="n">
        <v>46223</v>
      </c>
      <c r="F453" t="inlineStr">
        <is>
          <t>VÄSTRA GÖTALANDS LÄN</t>
        </is>
      </c>
      <c r="G453" t="inlineStr">
        <is>
          <t>MARK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46223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10910-2024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45370</v>
      </c>
      <c r="E455" s="1" t="n">
        <v>46223</v>
      </c>
      <c r="F455" t="inlineStr">
        <is>
          <t>VÄSTRA GÖTALANDS LÄN</t>
        </is>
      </c>
      <c r="G455" t="inlineStr">
        <is>
          <t>MARK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46223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46223</v>
      </c>
      <c r="F457" t="inlineStr">
        <is>
          <t>VÄSTRA GÖTALANDS LÄN</t>
        </is>
      </c>
      <c r="G457" t="inlineStr">
        <is>
          <t>MARK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45093</v>
      </c>
      <c r="E458" s="1" t="n">
        <v>46223</v>
      </c>
      <c r="F458" t="inlineStr">
        <is>
          <t>VÄSTRA GÖTALANDS LÄN</t>
        </is>
      </c>
      <c r="G458" t="inlineStr">
        <is>
          <t>MARK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46223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46223</v>
      </c>
      <c r="F460" t="inlineStr">
        <is>
          <t>VÄSTRA GÖTALANDS LÄN</t>
        </is>
      </c>
      <c r="G460" t="inlineStr">
        <is>
          <t>MARK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8372-2024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45352</v>
      </c>
      <c r="E461" s="1" t="n">
        <v>46223</v>
      </c>
      <c r="F461" t="inlineStr">
        <is>
          <t>VÄSTRA GÖTALANDS LÄN</t>
        </is>
      </c>
      <c r="G461" t="inlineStr">
        <is>
          <t>MARK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46223</v>
      </c>
      <c r="F462" t="inlineStr">
        <is>
          <t>VÄSTRA GÖTALANDS LÄN</t>
        </is>
      </c>
      <c r="G462" t="inlineStr">
        <is>
          <t>MARK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46223</v>
      </c>
      <c r="F463" t="inlineStr">
        <is>
          <t>VÄSTRA GÖTALANDS LÄN</t>
        </is>
      </c>
      <c r="G463" t="inlineStr">
        <is>
          <t>MARK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51458-2024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46223</v>
      </c>
      <c r="F464" t="inlineStr">
        <is>
          <t>VÄSTRA GÖTALANDS LÄN</t>
        </is>
      </c>
      <c r="G464" t="inlineStr">
        <is>
          <t>MARK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64740-2023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46223</v>
      </c>
      <c r="F465" t="inlineStr">
        <is>
          <t>VÄSTRA GÖTALANDS LÄN</t>
        </is>
      </c>
      <c r="G465" t="inlineStr">
        <is>
          <t>MARK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46223</v>
      </c>
      <c r="F466" t="inlineStr">
        <is>
          <t>VÄSTRA GÖTALANDS LÄN</t>
        </is>
      </c>
      <c r="G466" t="inlineStr">
        <is>
          <t>MARK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46223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46223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2626-2026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46223</v>
      </c>
      <c r="F469" t="inlineStr">
        <is>
          <t>VÄSTRA GÖTALANDS LÄN</t>
        </is>
      </c>
      <c r="G469" t="inlineStr">
        <is>
          <t>MARK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38357-2024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46223</v>
      </c>
      <c r="F470" t="inlineStr">
        <is>
          <t>VÄSTRA GÖTALANDS LÄN</t>
        </is>
      </c>
      <c r="G470" t="inlineStr">
        <is>
          <t>MARK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7343-2023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44971</v>
      </c>
      <c r="E471" s="1" t="n">
        <v>46223</v>
      </c>
      <c r="F471" t="inlineStr">
        <is>
          <t>VÄSTRA GÖTALANDS LÄN</t>
        </is>
      </c>
      <c r="G471" t="inlineStr">
        <is>
          <t>MARK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59151-2023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46223</v>
      </c>
      <c r="F472" t="inlineStr">
        <is>
          <t>VÄSTRA GÖTALANDS LÄN</t>
        </is>
      </c>
      <c r="G472" t="inlineStr">
        <is>
          <t>MARK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59163-2023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45251</v>
      </c>
      <c r="E473" s="1" t="n">
        <v>46223</v>
      </c>
      <c r="F473" t="inlineStr">
        <is>
          <t>VÄSTRA GÖTALANDS LÄN</t>
        </is>
      </c>
      <c r="G473" t="inlineStr">
        <is>
          <t>MARK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17086-2026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46223</v>
      </c>
      <c r="F474" t="inlineStr">
        <is>
          <t>VÄSTRA GÖTALANDS LÄN</t>
        </is>
      </c>
      <c r="G474" t="inlineStr">
        <is>
          <t>MARK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29366-2023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45106</v>
      </c>
      <c r="E475" s="1" t="n">
        <v>46223</v>
      </c>
      <c r="F475" t="inlineStr">
        <is>
          <t>VÄSTRA GÖTALANDS LÄN</t>
        </is>
      </c>
      <c r="G475" t="inlineStr">
        <is>
          <t>MARK</t>
        </is>
      </c>
      <c r="H475" t="inlineStr">
        <is>
          <t>Sveaskog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29368-2023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45106</v>
      </c>
      <c r="E476" s="1" t="n">
        <v>46223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46223</v>
      </c>
      <c r="F477" t="inlineStr">
        <is>
          <t>VÄSTRA GÖTALANDS LÄN</t>
        </is>
      </c>
      <c r="G477" t="inlineStr">
        <is>
          <t>MARK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44764</v>
      </c>
      <c r="E478" s="1" t="n">
        <v>46223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46223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2625-2022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44580</v>
      </c>
      <c r="E480" s="1" t="n">
        <v>46223</v>
      </c>
      <c r="F480" t="inlineStr">
        <is>
          <t>VÄSTRA GÖTALANDS LÄN</t>
        </is>
      </c>
      <c r="G480" t="inlineStr">
        <is>
          <t>MARK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22037-2024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45443</v>
      </c>
      <c r="E481" s="1" t="n">
        <v>46223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46223</v>
      </c>
      <c r="F482" t="inlineStr">
        <is>
          <t>VÄSTRA GÖTALANDS LÄN</t>
        </is>
      </c>
      <c r="G482" t="inlineStr">
        <is>
          <t>MARK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7455-2022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46223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43477-2025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45911</v>
      </c>
      <c r="E484" s="1" t="n">
        <v>46223</v>
      </c>
      <c r="F484" t="inlineStr">
        <is>
          <t>VÄSTRA GÖTALANDS LÄN</t>
        </is>
      </c>
      <c r="G484" t="inlineStr">
        <is>
          <t>MARK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57128-2024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46223</v>
      </c>
      <c r="F485" t="inlineStr">
        <is>
          <t>VÄSTRA GÖTALANDS LÄN</t>
        </is>
      </c>
      <c r="G485" t="inlineStr">
        <is>
          <t>MARK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44599</v>
      </c>
      <c r="E486" s="1" t="n">
        <v>46223</v>
      </c>
      <c r="F486" t="inlineStr">
        <is>
          <t>VÄSTRA GÖTALANDS LÄN</t>
        </is>
      </c>
      <c r="G486" t="inlineStr">
        <is>
          <t>MARK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44585</v>
      </c>
      <c r="E487" s="1" t="n">
        <v>46223</v>
      </c>
      <c r="F487" t="inlineStr">
        <is>
          <t>VÄSTRA GÖTALANDS LÄN</t>
        </is>
      </c>
      <c r="G487" t="inlineStr">
        <is>
          <t>MARK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8808-2024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46223</v>
      </c>
      <c r="F488" t="inlineStr">
        <is>
          <t>VÄSTRA GÖTALANDS LÄN</t>
        </is>
      </c>
      <c r="G488" t="inlineStr">
        <is>
          <t>MARK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8814-2024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46223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23865-2024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45455</v>
      </c>
      <c r="E490" s="1" t="n">
        <v>46223</v>
      </c>
      <c r="F490" t="inlineStr">
        <is>
          <t>VÄSTRA GÖTALANDS LÄN</t>
        </is>
      </c>
      <c r="G490" t="inlineStr">
        <is>
          <t>MARK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19653-2026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46223</v>
      </c>
      <c r="F491" t="inlineStr">
        <is>
          <t>VÄSTRA GÖTALANDS LÄN</t>
        </is>
      </c>
      <c r="G491" t="inlineStr">
        <is>
          <t>MARK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40557-2024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45555</v>
      </c>
      <c r="E492" s="1" t="n">
        <v>46223</v>
      </c>
      <c r="F492" t="inlineStr">
        <is>
          <t>VÄSTRA GÖTALANDS LÄN</t>
        </is>
      </c>
      <c r="G492" t="inlineStr">
        <is>
          <t>MARK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46223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44249-2023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46223</v>
      </c>
      <c r="F494" t="inlineStr">
        <is>
          <t>VÄSTRA GÖTALANDS LÄN</t>
        </is>
      </c>
      <c r="G494" t="inlineStr">
        <is>
          <t>MARK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57779-2024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46223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4143-2022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44588</v>
      </c>
      <c r="E496" s="1" t="n">
        <v>46223</v>
      </c>
      <c r="F496" t="inlineStr">
        <is>
          <t>VÄSTRA GÖTALANDS LÄN</t>
        </is>
      </c>
      <c r="G496" t="inlineStr">
        <is>
          <t>MARK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46223</v>
      </c>
      <c r="F497" t="inlineStr">
        <is>
          <t>VÄSTRA GÖTALANDS LÄN</t>
        </is>
      </c>
      <c r="G497" t="inlineStr">
        <is>
          <t>MARK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46223</v>
      </c>
      <c r="F498" t="inlineStr">
        <is>
          <t>VÄSTRA GÖTALANDS LÄN</t>
        </is>
      </c>
      <c r="G498" t="inlineStr">
        <is>
          <t>MARK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13553-2022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44648</v>
      </c>
      <c r="E499" s="1" t="n">
        <v>46223</v>
      </c>
      <c r="F499" t="inlineStr">
        <is>
          <t>VÄSTRA GÖTALANDS LÄN</t>
        </is>
      </c>
      <c r="G499" t="inlineStr">
        <is>
          <t>MARK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21587-2023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45063</v>
      </c>
      <c r="E500" s="1" t="n">
        <v>46223</v>
      </c>
      <c r="F500" t="inlineStr">
        <is>
          <t>VÄSTRA GÖTALANDS LÄN</t>
        </is>
      </c>
      <c r="G500" t="inlineStr">
        <is>
          <t>MARK</t>
        </is>
      </c>
      <c r="I500" t="n">
        <v>10.4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46223</v>
      </c>
      <c r="F501" t="inlineStr">
        <is>
          <t>VÄSTRA GÖTALANDS LÄN</t>
        </is>
      </c>
      <c r="G501" t="inlineStr">
        <is>
          <t>MARK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46223</v>
      </c>
      <c r="F502" t="inlineStr">
        <is>
          <t>VÄSTRA GÖTALANDS LÄN</t>
        </is>
      </c>
      <c r="G502" t="inlineStr">
        <is>
          <t>MARK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24449-2023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46223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46223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23243-2025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45791</v>
      </c>
      <c r="E505" s="1" t="n">
        <v>46223</v>
      </c>
      <c r="F505" t="inlineStr">
        <is>
          <t>VÄSTRA GÖTALANDS LÄN</t>
        </is>
      </c>
      <c r="G505" t="inlineStr">
        <is>
          <t>MARK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61486-2021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44501</v>
      </c>
      <c r="E506" s="1" t="n">
        <v>46223</v>
      </c>
      <c r="F506" t="inlineStr">
        <is>
          <t>VÄSTRA GÖTALANDS LÄN</t>
        </is>
      </c>
      <c r="G506" t="inlineStr">
        <is>
          <t>MARK</t>
        </is>
      </c>
      <c r="I506" t="n">
        <v>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46223</v>
      </c>
      <c r="F507" t="inlineStr">
        <is>
          <t>VÄSTRA GÖTALANDS LÄN</t>
        </is>
      </c>
      <c r="G507" t="inlineStr">
        <is>
          <t>MARK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46223</v>
      </c>
      <c r="F508" t="inlineStr">
        <is>
          <t>VÄSTRA GÖTALANDS LÄN</t>
        </is>
      </c>
      <c r="G508" t="inlineStr">
        <is>
          <t>MARK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45236</v>
      </c>
      <c r="E509" s="1" t="n">
        <v>46223</v>
      </c>
      <c r="F509" t="inlineStr">
        <is>
          <t>VÄSTRA GÖTALANDS LÄN</t>
        </is>
      </c>
      <c r="G509" t="inlineStr">
        <is>
          <t>MARK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22246-2023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45070</v>
      </c>
      <c r="E510" s="1" t="n">
        <v>46223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27714-2023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46223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27725-2023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46223</v>
      </c>
      <c r="F512" t="inlineStr">
        <is>
          <t>VÄSTRA GÖTALANDS LÄN</t>
        </is>
      </c>
      <c r="G512" t="inlineStr">
        <is>
          <t>MARK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16984-2025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45755</v>
      </c>
      <c r="E513" s="1" t="n">
        <v>46223</v>
      </c>
      <c r="F513" t="inlineStr">
        <is>
          <t>VÄSTRA GÖTALANDS LÄN</t>
        </is>
      </c>
      <c r="G513" t="inlineStr">
        <is>
          <t>MARK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43922-2024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45572</v>
      </c>
      <c r="E514" s="1" t="n">
        <v>46223</v>
      </c>
      <c r="F514" t="inlineStr">
        <is>
          <t>VÄSTRA GÖTALANDS LÄN</t>
        </is>
      </c>
      <c r="G514" t="inlineStr">
        <is>
          <t>MARK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53979-2023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45231</v>
      </c>
      <c r="E515" s="1" t="n">
        <v>46223</v>
      </c>
      <c r="F515" t="inlineStr">
        <is>
          <t>VÄSTRA GÖTALANDS LÄN</t>
        </is>
      </c>
      <c r="G515" t="inlineStr">
        <is>
          <t>MARK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25911-2022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44734</v>
      </c>
      <c r="E516" s="1" t="n">
        <v>46223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28640-2025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45819</v>
      </c>
      <c r="E517" s="1" t="n">
        <v>46223</v>
      </c>
      <c r="F517" t="inlineStr">
        <is>
          <t>VÄSTRA GÖTALANDS LÄN</t>
        </is>
      </c>
      <c r="G517" t="inlineStr">
        <is>
          <t>MARK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10583-2022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44624</v>
      </c>
      <c r="E518" s="1" t="n">
        <v>46223</v>
      </c>
      <c r="F518" t="inlineStr">
        <is>
          <t>VÄSTRA GÖTALANDS LÄN</t>
        </is>
      </c>
      <c r="G518" t="inlineStr">
        <is>
          <t>MARK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26241-2026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46223</v>
      </c>
      <c r="F519" t="inlineStr">
        <is>
          <t>VÄSTRA GÖTALANDS LÄN</t>
        </is>
      </c>
      <c r="G519" t="inlineStr">
        <is>
          <t>MARK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36374-2025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45868</v>
      </c>
      <c r="E520" s="1" t="n">
        <v>46223</v>
      </c>
      <c r="F520" t="inlineStr">
        <is>
          <t>VÄSTRA GÖTALANDS LÄN</t>
        </is>
      </c>
      <c r="G520" t="inlineStr">
        <is>
          <t>MARK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59175-2024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45637</v>
      </c>
      <c r="E521" s="1" t="n">
        <v>46223</v>
      </c>
      <c r="F521" t="inlineStr">
        <is>
          <t>VÄSTRA GÖTALANDS LÄN</t>
        </is>
      </c>
      <c r="G521" t="inlineStr">
        <is>
          <t>MARK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46223</v>
      </c>
      <c r="F522" t="inlineStr">
        <is>
          <t>VÄSTRA GÖTALANDS LÄN</t>
        </is>
      </c>
      <c r="G522" t="inlineStr">
        <is>
          <t>MARK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45713</v>
      </c>
      <c r="E523" s="1" t="n">
        <v>46223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29529-2025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45825</v>
      </c>
      <c r="E524" s="1" t="n">
        <v>46223</v>
      </c>
      <c r="F524" t="inlineStr">
        <is>
          <t>VÄSTRA GÖTALANDS LÄN</t>
        </is>
      </c>
      <c r="G524" t="inlineStr">
        <is>
          <t>MARK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46223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45025-2025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45918</v>
      </c>
      <c r="E526" s="1" t="n">
        <v>46223</v>
      </c>
      <c r="F526" t="inlineStr">
        <is>
          <t>VÄSTRA GÖTALANDS LÄN</t>
        </is>
      </c>
      <c r="G526" t="inlineStr">
        <is>
          <t>MARK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43404-2024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45568</v>
      </c>
      <c r="E527" s="1" t="n">
        <v>46223</v>
      </c>
      <c r="F527" t="inlineStr">
        <is>
          <t>VÄSTRA GÖTALANDS LÄN</t>
        </is>
      </c>
      <c r="G527" t="inlineStr">
        <is>
          <t>MARK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43293-2023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46223</v>
      </c>
      <c r="F528" t="inlineStr">
        <is>
          <t>VÄSTRA GÖTALANDS LÄN</t>
        </is>
      </c>
      <c r="G528" t="inlineStr">
        <is>
          <t>MARK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44001-2022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44838</v>
      </c>
      <c r="E529" s="1" t="n">
        <v>46223</v>
      </c>
      <c r="F529" t="inlineStr">
        <is>
          <t>VÄSTRA GÖTALANDS LÄN</t>
        </is>
      </c>
      <c r="G529" t="inlineStr">
        <is>
          <t>MARK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34163-2023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46223</v>
      </c>
      <c r="F530" t="inlineStr">
        <is>
          <t>VÄSTRA GÖTALANDS LÄN</t>
        </is>
      </c>
      <c r="G530" t="inlineStr">
        <is>
          <t>MARK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56905-2023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46223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22918-2022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44715</v>
      </c>
      <c r="E532" s="1" t="n">
        <v>46223</v>
      </c>
      <c r="F532" t="inlineStr">
        <is>
          <t>VÄSTRA GÖTALANDS LÄN</t>
        </is>
      </c>
      <c r="G532" t="inlineStr">
        <is>
          <t>MARK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18280-2024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45422</v>
      </c>
      <c r="E533" s="1" t="n">
        <v>46223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27471-2024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46223</v>
      </c>
      <c r="F534" t="inlineStr">
        <is>
          <t>VÄSTRA GÖTALANDS LÄN</t>
        </is>
      </c>
      <c r="G534" t="inlineStr">
        <is>
          <t>MARK</t>
        </is>
      </c>
      <c r="H534" t="inlineStr">
        <is>
          <t>Kommuner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59156-2023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46223</v>
      </c>
      <c r="F535" t="inlineStr">
        <is>
          <t>VÄSTRA GÖTALANDS LÄN</t>
        </is>
      </c>
      <c r="G535" t="inlineStr">
        <is>
          <t>MARK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46223</v>
      </c>
      <c r="F536" t="inlineStr">
        <is>
          <t>VÄSTRA GÖTALANDS LÄN</t>
        </is>
      </c>
      <c r="G536" t="inlineStr">
        <is>
          <t>MARK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45299</v>
      </c>
      <c r="E537" s="1" t="n">
        <v>46223</v>
      </c>
      <c r="F537" t="inlineStr">
        <is>
          <t>VÄSTRA GÖTALANDS LÄN</t>
        </is>
      </c>
      <c r="G537" t="inlineStr">
        <is>
          <t>MARK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11518-2024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45373</v>
      </c>
      <c r="E538" s="1" t="n">
        <v>46223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46223</v>
      </c>
      <c r="F539" t="inlineStr">
        <is>
          <t>VÄSTRA GÖTALANDS LÄN</t>
        </is>
      </c>
      <c r="G539" t="inlineStr">
        <is>
          <t>MARK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44935</v>
      </c>
      <c r="E540" s="1" t="n">
        <v>46223</v>
      </c>
      <c r="F540" t="inlineStr">
        <is>
          <t>VÄSTRA GÖTALANDS LÄN</t>
        </is>
      </c>
      <c r="G540" t="inlineStr">
        <is>
          <t>MARK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27451-2026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46223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16159-2025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45750</v>
      </c>
      <c r="E542" s="1" t="n">
        <v>46223</v>
      </c>
      <c r="F542" t="inlineStr">
        <is>
          <t>VÄSTRA GÖTALANDS LÄN</t>
        </is>
      </c>
      <c r="G542" t="inlineStr">
        <is>
          <t>MARK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55689-2022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44888</v>
      </c>
      <c r="E543" s="1" t="n">
        <v>46223</v>
      </c>
      <c r="F543" t="inlineStr">
        <is>
          <t>VÄSTRA GÖTALANDS LÄN</t>
        </is>
      </c>
      <c r="G543" t="inlineStr">
        <is>
          <t>MARK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12429-2024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45379</v>
      </c>
      <c r="E544" s="1" t="n">
        <v>46223</v>
      </c>
      <c r="F544" t="inlineStr">
        <is>
          <t>VÄSTRA GÖTALANDS LÄN</t>
        </is>
      </c>
      <c r="G544" t="inlineStr">
        <is>
          <t>MARK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27675-2026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46190</v>
      </c>
      <c r="E545" s="1" t="n">
        <v>46223</v>
      </c>
      <c r="F545" t="inlineStr">
        <is>
          <t>VÄSTRA GÖTALANDS LÄN</t>
        </is>
      </c>
      <c r="G545" t="inlineStr">
        <is>
          <t>MARK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21710-2026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46223</v>
      </c>
      <c r="F546" t="inlineStr">
        <is>
          <t>VÄSTRA GÖTALANDS LÄN</t>
        </is>
      </c>
      <c r="G546" t="inlineStr">
        <is>
          <t>MARK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46223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46223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8812-2024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45356</v>
      </c>
      <c r="E549" s="1" t="n">
        <v>46223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17003-2025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45755</v>
      </c>
      <c r="E550" s="1" t="n">
        <v>46223</v>
      </c>
      <c r="F550" t="inlineStr">
        <is>
          <t>VÄSTRA GÖTALANDS LÄN</t>
        </is>
      </c>
      <c r="G550" t="inlineStr">
        <is>
          <t>MARK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17006-2025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45755</v>
      </c>
      <c r="E551" s="1" t="n">
        <v>46223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27720-2026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46223</v>
      </c>
      <c r="F552" t="inlineStr">
        <is>
          <t>VÄSTRA GÖTALANDS LÄN</t>
        </is>
      </c>
      <c r="G552" t="inlineStr">
        <is>
          <t>MARK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10469-2023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46223</v>
      </c>
      <c r="F553" t="inlineStr">
        <is>
          <t>VÄSTRA GÖTALANDS LÄN</t>
        </is>
      </c>
      <c r="G553" t="inlineStr">
        <is>
          <t>MARK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45281</v>
      </c>
      <c r="E554" s="1" t="n">
        <v>46223</v>
      </c>
      <c r="F554" t="inlineStr">
        <is>
          <t>VÄSTRA GÖTALANDS LÄN</t>
        </is>
      </c>
      <c r="G554" t="inlineStr">
        <is>
          <t>MARK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61417-2023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46223</v>
      </c>
      <c r="F555" t="inlineStr">
        <is>
          <t>VÄSTRA GÖTALANDS LÄN</t>
        </is>
      </c>
      <c r="G555" t="inlineStr">
        <is>
          <t>MARK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58497-2023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45251</v>
      </c>
      <c r="E556" s="1" t="n">
        <v>46223</v>
      </c>
      <c r="F556" t="inlineStr">
        <is>
          <t>VÄSTRA GÖTALANDS LÄN</t>
        </is>
      </c>
      <c r="G556" t="inlineStr">
        <is>
          <t>MARK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4011-2025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46223</v>
      </c>
      <c r="F557" t="inlineStr">
        <is>
          <t>VÄSTRA GÖTALANDS LÄN</t>
        </is>
      </c>
      <c r="G557" t="inlineStr">
        <is>
          <t>MARK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28172-2026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46223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22123-2026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46223</v>
      </c>
      <c r="F559" t="inlineStr">
        <is>
          <t>VÄSTRA GÖTALANDS LÄN</t>
        </is>
      </c>
      <c r="G559" t="inlineStr">
        <is>
          <t>MARK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6980-2024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46223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14749-2024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45397</v>
      </c>
      <c r="E561" s="1" t="n">
        <v>46223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59605-2023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46223</v>
      </c>
      <c r="F562" t="inlineStr">
        <is>
          <t>VÄSTRA GÖTALANDS LÄN</t>
        </is>
      </c>
      <c r="G562" t="inlineStr">
        <is>
          <t>MARK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53529-2023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45230</v>
      </c>
      <c r="E563" s="1" t="n">
        <v>46223</v>
      </c>
      <c r="F563" t="inlineStr">
        <is>
          <t>VÄSTRA GÖTALANDS LÄN</t>
        </is>
      </c>
      <c r="G563" t="inlineStr">
        <is>
          <t>MARK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46223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28020-2026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46195</v>
      </c>
      <c r="E565" s="1" t="n">
        <v>46223</v>
      </c>
      <c r="F565" t="inlineStr">
        <is>
          <t>VÄSTRA GÖTALANDS LÄN</t>
        </is>
      </c>
      <c r="G565" t="inlineStr">
        <is>
          <t>MARK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28086-2026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46223</v>
      </c>
      <c r="F566" t="inlineStr">
        <is>
          <t>VÄSTRA GÖTALANDS LÄN</t>
        </is>
      </c>
      <c r="G566" t="inlineStr">
        <is>
          <t>MARK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28125-2026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46223</v>
      </c>
      <c r="F567" t="inlineStr">
        <is>
          <t>VÄSTRA GÖTALANDS LÄN</t>
        </is>
      </c>
      <c r="G567" t="inlineStr">
        <is>
          <t>MARK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19185-2024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46223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28014-2026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46223</v>
      </c>
      <c r="F569" t="inlineStr">
        <is>
          <t>VÄSTRA GÖTALANDS LÄN</t>
        </is>
      </c>
      <c r="G569" t="inlineStr">
        <is>
          <t>MARK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34167-2023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45137</v>
      </c>
      <c r="E570" s="1" t="n">
        <v>46223</v>
      </c>
      <c r="F570" t="inlineStr">
        <is>
          <t>VÄSTRA GÖTALANDS LÄN</t>
        </is>
      </c>
      <c r="G570" t="inlineStr">
        <is>
          <t>MARK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28628-2026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46223</v>
      </c>
      <c r="F571" t="inlineStr">
        <is>
          <t>VÄSTRA GÖTALANDS LÄN</t>
        </is>
      </c>
      <c r="G571" t="inlineStr">
        <is>
          <t>MARK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39601-2024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46223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57766-2022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46223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50986-2021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44460</v>
      </c>
      <c r="E574" s="1" t="n">
        <v>46223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44935</v>
      </c>
      <c r="E575" s="1" t="n">
        <v>46223</v>
      </c>
      <c r="F575" t="inlineStr">
        <is>
          <t>VÄSTRA GÖTALANDS LÄN</t>
        </is>
      </c>
      <c r="G575" t="inlineStr">
        <is>
          <t>MARK</t>
        </is>
      </c>
      <c r="I575" t="n">
        <v>26.5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43350-2021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44432</v>
      </c>
      <c r="E576" s="1" t="n">
        <v>46223</v>
      </c>
      <c r="F576" t="inlineStr">
        <is>
          <t>VÄSTRA GÖTALANDS LÄN</t>
        </is>
      </c>
      <c r="G576" t="inlineStr">
        <is>
          <t>MARK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8403-2022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44610</v>
      </c>
      <c r="E577" s="1" t="n">
        <v>46223</v>
      </c>
      <c r="F577" t="inlineStr">
        <is>
          <t>VÄSTRA GÖTALANDS LÄN</t>
        </is>
      </c>
      <c r="G577" t="inlineStr">
        <is>
          <t>MARK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19608-2024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45432</v>
      </c>
      <c r="E578" s="1" t="n">
        <v>46223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7134-2022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44603</v>
      </c>
      <c r="E579" s="1" t="n">
        <v>46223</v>
      </c>
      <c r="F579" t="inlineStr">
        <is>
          <t>VÄSTRA GÖTALANDS LÄN</t>
        </is>
      </c>
      <c r="G579" t="inlineStr">
        <is>
          <t>MARK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9017-2022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44615</v>
      </c>
      <c r="E580" s="1" t="n">
        <v>46223</v>
      </c>
      <c r="F580" t="inlineStr">
        <is>
          <t>VÄSTRA GÖTALANDS LÄN</t>
        </is>
      </c>
      <c r="G580" t="inlineStr">
        <is>
          <t>MARK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10669-2024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45369</v>
      </c>
      <c r="E581" s="1" t="n">
        <v>46223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29058-2026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46223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27768-2024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46223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4131-2022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44588</v>
      </c>
      <c r="E584" s="1" t="n">
        <v>46223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4136-2022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44588</v>
      </c>
      <c r="E585" s="1" t="n">
        <v>46223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35728-2023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46223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1600-2023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44937</v>
      </c>
      <c r="E587" s="1" t="n">
        <v>46223</v>
      </c>
      <c r="F587" t="inlineStr">
        <is>
          <t>VÄSTRA GÖTALANDS LÄN</t>
        </is>
      </c>
      <c r="G587" t="inlineStr">
        <is>
          <t>MARK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20664-2025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46223</v>
      </c>
      <c r="F588" t="inlineStr">
        <is>
          <t>VÄSTRA GÖTALANDS LÄN</t>
        </is>
      </c>
      <c r="G588" t="inlineStr">
        <is>
          <t>MARK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45332</v>
      </c>
      <c r="E589" s="1" t="n">
        <v>46223</v>
      </c>
      <c r="F589" t="inlineStr">
        <is>
          <t>VÄSTRA GÖTALANDS LÄN</t>
        </is>
      </c>
      <c r="G589" t="inlineStr">
        <is>
          <t>MARK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46223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49408-2024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46223</v>
      </c>
      <c r="F591" t="inlineStr">
        <is>
          <t>VÄSTRA GÖTALANDS LÄN</t>
        </is>
      </c>
      <c r="G591" t="inlineStr">
        <is>
          <t>MARK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29722-2026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46223</v>
      </c>
      <c r="F592" t="inlineStr">
        <is>
          <t>VÄSTRA GÖTALANDS LÄN</t>
        </is>
      </c>
      <c r="G592" t="inlineStr">
        <is>
          <t>MARK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30381-2022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44760</v>
      </c>
      <c r="E593" s="1" t="n">
        <v>46223</v>
      </c>
      <c r="F593" t="inlineStr">
        <is>
          <t>VÄSTRA GÖTALANDS LÄN</t>
        </is>
      </c>
      <c r="G593" t="inlineStr">
        <is>
          <t>MARK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11575-2022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44631</v>
      </c>
      <c r="E594" s="1" t="n">
        <v>46223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29507-2026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46223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44994</v>
      </c>
      <c r="E596" s="1" t="n">
        <v>46223</v>
      </c>
      <c r="F596" t="inlineStr">
        <is>
          <t>VÄSTRA GÖTALANDS LÄN</t>
        </is>
      </c>
      <c r="G596" t="inlineStr">
        <is>
          <t>MARK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14426-2022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44652</v>
      </c>
      <c r="E597" s="1" t="n">
        <v>46223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22914-2022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44715</v>
      </c>
      <c r="E598" s="1" t="n">
        <v>46223</v>
      </c>
      <c r="F598" t="inlineStr">
        <is>
          <t>VÄSTRA GÖTALANDS LÄN</t>
        </is>
      </c>
      <c r="G598" t="inlineStr">
        <is>
          <t>MARK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23410-2026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46162</v>
      </c>
      <c r="E599" s="1" t="n">
        <v>46223</v>
      </c>
      <c r="F599" t="inlineStr">
        <is>
          <t>VÄSTRA GÖTALANDS LÄN</t>
        </is>
      </c>
      <c r="G599" t="inlineStr">
        <is>
          <t>MARK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9559-2023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44982</v>
      </c>
      <c r="E600" s="1" t="n">
        <v>46223</v>
      </c>
      <c r="F600" t="inlineStr">
        <is>
          <t>VÄSTRA GÖTALANDS LÄN</t>
        </is>
      </c>
      <c r="G600" t="inlineStr">
        <is>
          <t>MARK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4800-2025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46223</v>
      </c>
      <c r="F601" t="inlineStr">
        <is>
          <t>VÄSTRA GÖTALANDS LÄN</t>
        </is>
      </c>
      <c r="G601" t="inlineStr">
        <is>
          <t>MARK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16988-2025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45755</v>
      </c>
      <c r="E602" s="1" t="n">
        <v>46223</v>
      </c>
      <c r="F602" t="inlineStr">
        <is>
          <t>VÄSTRA GÖTALANDS LÄN</t>
        </is>
      </c>
      <c r="G602" t="inlineStr">
        <is>
          <t>MARK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11414-2022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44630</v>
      </c>
      <c r="E603" s="1" t="n">
        <v>46223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8856-2023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44978</v>
      </c>
      <c r="E604" s="1" t="n">
        <v>46223</v>
      </c>
      <c r="F604" t="inlineStr">
        <is>
          <t>VÄSTRA GÖTALANDS LÄN</t>
        </is>
      </c>
      <c r="G604" t="inlineStr">
        <is>
          <t>MARK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10890-2024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45370</v>
      </c>
      <c r="E605" s="1" t="n">
        <v>46223</v>
      </c>
      <c r="F605" t="inlineStr">
        <is>
          <t>VÄSTRA GÖTALANDS LÄN</t>
        </is>
      </c>
      <c r="G605" t="inlineStr">
        <is>
          <t>MARK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5871-2023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44963</v>
      </c>
      <c r="E606" s="1" t="n">
        <v>46223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27409-2024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46223</v>
      </c>
      <c r="F607" t="inlineStr">
        <is>
          <t>VÄSTRA GÖTALANDS LÄN</t>
        </is>
      </c>
      <c r="G607" t="inlineStr">
        <is>
          <t>MARK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33899-2023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45134</v>
      </c>
      <c r="E608" s="1" t="n">
        <v>46223</v>
      </c>
      <c r="F608" t="inlineStr">
        <is>
          <t>VÄSTRA GÖTALANDS LÄN</t>
        </is>
      </c>
      <c r="G608" t="inlineStr">
        <is>
          <t>MARK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52242-2023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45224</v>
      </c>
      <c r="E609" s="1" t="n">
        <v>46223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37370-2024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45540</v>
      </c>
      <c r="E610" s="1" t="n">
        <v>46223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23819-2026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46165</v>
      </c>
      <c r="E611" s="1" t="n">
        <v>46223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Sveaskog</t>
        </is>
      </c>
      <c r="I611" t="n">
        <v>17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46223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46223</v>
      </c>
      <c r="F613" t="inlineStr">
        <is>
          <t>VÄSTRA GÖTALANDS LÄN</t>
        </is>
      </c>
      <c r="G613" t="inlineStr">
        <is>
          <t>MARK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12127-2024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46223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Kyrkan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21639-2024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46223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47973-2023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45204</v>
      </c>
      <c r="E616" s="1" t="n">
        <v>46223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36772-2023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45154</v>
      </c>
      <c r="E617" s="1" t="n">
        <v>46223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3987-2023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44950</v>
      </c>
      <c r="E618" s="1" t="n">
        <v>46223</v>
      </c>
      <c r="F618" t="inlineStr">
        <is>
          <t>VÄSTRA GÖTALANDS LÄN</t>
        </is>
      </c>
      <c r="G618" t="inlineStr">
        <is>
          <t>MARK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22144-2022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44712</v>
      </c>
      <c r="E619" s="1" t="n">
        <v>46223</v>
      </c>
      <c r="F619" t="inlineStr">
        <is>
          <t>VÄSTRA GÖTALANDS LÄN</t>
        </is>
      </c>
      <c r="G619" t="inlineStr">
        <is>
          <t>MARK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56904-2023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46223</v>
      </c>
      <c r="F620" t="inlineStr">
        <is>
          <t>VÄSTRA GÖTALANDS LÄN</t>
        </is>
      </c>
      <c r="G620" t="inlineStr">
        <is>
          <t>MARK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36305-2024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45534</v>
      </c>
      <c r="E621" s="1" t="n">
        <v>46223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29612-2024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46223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15176-2023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45016</v>
      </c>
      <c r="E623" s="1" t="n">
        <v>46223</v>
      </c>
      <c r="F623" t="inlineStr">
        <is>
          <t>VÄSTRA GÖTALANDS LÄN</t>
        </is>
      </c>
      <c r="G623" t="inlineStr">
        <is>
          <t>MARK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24298-2026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46169</v>
      </c>
      <c r="E624" s="1" t="n">
        <v>46223</v>
      </c>
      <c r="F624" t="inlineStr">
        <is>
          <t>VÄSTRA GÖTALANDS LÄN</t>
        </is>
      </c>
      <c r="G624" t="inlineStr">
        <is>
          <t>MARK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6775-2024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46223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31069-2026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46216</v>
      </c>
      <c r="E626" s="1" t="n">
        <v>46223</v>
      </c>
      <c r="F626" t="inlineStr">
        <is>
          <t>VÄSTRA GÖTALANDS LÄN</t>
        </is>
      </c>
      <c r="G626" t="inlineStr">
        <is>
          <t>MARK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36287-2022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44803</v>
      </c>
      <c r="E627" s="1" t="n">
        <v>46223</v>
      </c>
      <c r="F627" t="inlineStr">
        <is>
          <t>VÄSTRA GÖTALANDS LÄN</t>
        </is>
      </c>
      <c r="G627" t="inlineStr">
        <is>
          <t>MARK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30741-2026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46223</v>
      </c>
      <c r="F628" t="inlineStr">
        <is>
          <t>VÄSTRA GÖTALANDS LÄN</t>
        </is>
      </c>
      <c r="G628" t="inlineStr">
        <is>
          <t>MARK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46223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46223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46223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46223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46223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46223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46223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46223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46223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46223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46223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46223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25480-2026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46223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25277-2026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46176</v>
      </c>
      <c r="E642" s="1" t="n">
        <v>46223</v>
      </c>
      <c r="F642" t="inlineStr">
        <is>
          <t>VÄSTRA GÖTALANDS LÄN</t>
        </is>
      </c>
      <c r="G642" t="inlineStr">
        <is>
          <t>MARK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46223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28000-2026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46223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28009-2026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46223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51446-2024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45604</v>
      </c>
      <c r="E646" s="1" t="n">
        <v>46223</v>
      </c>
      <c r="F646" t="inlineStr">
        <is>
          <t>VÄSTRA GÖTALANDS LÄN</t>
        </is>
      </c>
      <c r="G646" t="inlineStr">
        <is>
          <t>MARK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11663-2022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44632</v>
      </c>
      <c r="E647" s="1" t="n">
        <v>46223</v>
      </c>
      <c r="F647" t="inlineStr">
        <is>
          <t>VÄSTRA GÖTALANDS LÄN</t>
        </is>
      </c>
      <c r="G647" t="inlineStr">
        <is>
          <t>MARK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44994</v>
      </c>
      <c r="E648" s="1" t="n">
        <v>46223</v>
      </c>
      <c r="F648" t="inlineStr">
        <is>
          <t>VÄSTRA GÖTALANDS LÄN</t>
        </is>
      </c>
      <c r="G648" t="inlineStr">
        <is>
          <t>MARK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16615-2023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45030</v>
      </c>
      <c r="E649" s="1" t="n">
        <v>46223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44579</v>
      </c>
      <c r="E650" s="1" t="n">
        <v>46223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Kommuner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52673-2023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45219</v>
      </c>
      <c r="E651" s="1" t="n">
        <v>46223</v>
      </c>
      <c r="F651" t="inlineStr">
        <is>
          <t>VÄSTRA GÖTALANDS LÄN</t>
        </is>
      </c>
      <c r="G651" t="inlineStr">
        <is>
          <t>MARK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37737-2022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44810</v>
      </c>
      <c r="E652" s="1" t="n">
        <v>46223</v>
      </c>
      <c r="F652" t="inlineStr">
        <is>
          <t>VÄSTRA GÖTALANDS LÄN</t>
        </is>
      </c>
      <c r="G652" t="inlineStr">
        <is>
          <t>MARK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28257-2024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46223</v>
      </c>
      <c r="F653" t="inlineStr">
        <is>
          <t>VÄSTRA GÖTALANDS LÄN</t>
        </is>
      </c>
      <c r="G653" t="inlineStr">
        <is>
          <t>MARK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9496-2024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45359</v>
      </c>
      <c r="E654" s="1" t="n">
        <v>46223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9504-2024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45359</v>
      </c>
      <c r="E655" s="1" t="n">
        <v>46223</v>
      </c>
      <c r="F655" t="inlineStr">
        <is>
          <t>VÄSTRA GÖTALANDS LÄN</t>
        </is>
      </c>
      <c r="G655" t="inlineStr">
        <is>
          <t>MARK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9558-2023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44982</v>
      </c>
      <c r="E656" s="1" t="n">
        <v>46223</v>
      </c>
      <c r="F656" t="inlineStr">
        <is>
          <t>VÄSTRA GÖTALANDS LÄN</t>
        </is>
      </c>
      <c r="G656" t="inlineStr">
        <is>
          <t>MARK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45092</v>
      </c>
      <c r="E657" s="1" t="n">
        <v>46223</v>
      </c>
      <c r="F657" t="inlineStr">
        <is>
          <t>VÄSTRA GÖTALANDS LÄN</t>
        </is>
      </c>
      <c r="G657" t="inlineStr">
        <is>
          <t>MARK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23634-2023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45077</v>
      </c>
      <c r="E658" s="1" t="n">
        <v>46223</v>
      </c>
      <c r="F658" t="inlineStr">
        <is>
          <t>VÄSTRA GÖTALANDS LÄN</t>
        </is>
      </c>
      <c r="G658" t="inlineStr">
        <is>
          <t>MARK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12330-2024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46223</v>
      </c>
      <c r="F659" t="inlineStr">
        <is>
          <t>VÄSTRA GÖTALANDS LÄN</t>
        </is>
      </c>
      <c r="G659" t="inlineStr">
        <is>
          <t>MARK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5466-2024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45332</v>
      </c>
      <c r="E660" s="1" t="n">
        <v>46223</v>
      </c>
      <c r="F660" t="inlineStr">
        <is>
          <t>VÄSTRA GÖTALANDS LÄN</t>
        </is>
      </c>
      <c r="G660" t="inlineStr">
        <is>
          <t>MARK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7019-2024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45343</v>
      </c>
      <c r="E661" s="1" t="n">
        <v>46223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7720-2024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46223</v>
      </c>
      <c r="F662" t="inlineStr">
        <is>
          <t>VÄSTRA GÖTALANDS LÄN</t>
        </is>
      </c>
      <c r="G662" t="inlineStr">
        <is>
          <t>MARK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30275-2024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45490</v>
      </c>
      <c r="E663" s="1" t="n">
        <v>46223</v>
      </c>
      <c r="F663" t="inlineStr">
        <is>
          <t>VÄSTRA GÖTALANDS LÄN</t>
        </is>
      </c>
      <c r="G663" t="inlineStr">
        <is>
          <t>MARK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9251-2024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45358</v>
      </c>
      <c r="E664" s="1" t="n">
        <v>46223</v>
      </c>
      <c r="F664" t="inlineStr">
        <is>
          <t>VÄSTRA GÖTALANDS LÄN</t>
        </is>
      </c>
      <c r="G664" t="inlineStr">
        <is>
          <t>MARK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57896-2024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45631</v>
      </c>
      <c r="E665" s="1" t="n">
        <v>46223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57168-2024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45629</v>
      </c>
      <c r="E666" s="1" t="n">
        <v>46223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45301</v>
      </c>
      <c r="E667" s="1" t="n">
        <v>46223</v>
      </c>
      <c r="F667" t="inlineStr">
        <is>
          <t>VÄSTRA GÖTALANDS LÄN</t>
        </is>
      </c>
      <c r="G667" t="inlineStr">
        <is>
          <t>MARK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21260-2025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45779</v>
      </c>
      <c r="E668" s="1" t="n">
        <v>46223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46223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22022-2024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46223</v>
      </c>
      <c r="F670" t="inlineStr">
        <is>
          <t>VÄSTRA GÖTALANDS LÄN</t>
        </is>
      </c>
      <c r="G670" t="inlineStr">
        <is>
          <t>MARK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45784</v>
      </c>
      <c r="E671" s="1" t="n">
        <v>46223</v>
      </c>
      <c r="F671" t="inlineStr">
        <is>
          <t>VÄSTRA GÖTALANDS LÄN</t>
        </is>
      </c>
      <c r="G671" t="inlineStr">
        <is>
          <t>MARK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21906-2024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45443</v>
      </c>
      <c r="E672" s="1" t="n">
        <v>46223</v>
      </c>
      <c r="F672" t="inlineStr">
        <is>
          <t>VÄSTRA GÖTALANDS LÄN</t>
        </is>
      </c>
      <c r="G672" t="inlineStr">
        <is>
          <t>MARK</t>
        </is>
      </c>
      <c r="H672" t="inlineStr">
        <is>
          <t>Kyrkan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46223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2128-2025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45672</v>
      </c>
      <c r="E674" s="1" t="n">
        <v>46223</v>
      </c>
      <c r="F674" t="inlineStr">
        <is>
          <t>VÄSTRA GÖTALANDS LÄN</t>
        </is>
      </c>
      <c r="G674" t="inlineStr">
        <is>
          <t>MARK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9113-2025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45713</v>
      </c>
      <c r="E675" s="1" t="n">
        <v>46223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46223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20177-2024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45434</v>
      </c>
      <c r="E677" s="1" t="n">
        <v>46223</v>
      </c>
      <c r="F677" t="inlineStr">
        <is>
          <t>VÄSTRA GÖTALANDS LÄN</t>
        </is>
      </c>
      <c r="G677" t="inlineStr">
        <is>
          <t>MARK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11174-2025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45724</v>
      </c>
      <c r="E678" s="1" t="n">
        <v>46223</v>
      </c>
      <c r="F678" t="inlineStr">
        <is>
          <t>VÄSTRA GÖTALANDS LÄN</t>
        </is>
      </c>
      <c r="G678" t="inlineStr">
        <is>
          <t>MARK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23480-2025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46223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23486-2025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45792</v>
      </c>
      <c r="E680" s="1" t="n">
        <v>46223</v>
      </c>
      <c r="F680" t="inlineStr">
        <is>
          <t>VÄSTRA GÖTALANDS LÄN</t>
        </is>
      </c>
      <c r="G680" t="inlineStr">
        <is>
          <t>MARK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10674-2025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45721</v>
      </c>
      <c r="E681" s="1" t="n">
        <v>46223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44971</v>
      </c>
      <c r="E682" s="1" t="n">
        <v>46223</v>
      </c>
      <c r="F682" t="inlineStr">
        <is>
          <t>VÄSTRA GÖTALANDS LÄN</t>
        </is>
      </c>
      <c r="G682" t="inlineStr">
        <is>
          <t>MARK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24771-2025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46223</v>
      </c>
      <c r="F683" t="inlineStr">
        <is>
          <t>VÄSTRA GÖTALANDS LÄN</t>
        </is>
      </c>
      <c r="G683" t="inlineStr">
        <is>
          <t>MARK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24781-2025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46223</v>
      </c>
      <c r="F684" t="inlineStr">
        <is>
          <t>VÄSTRA GÖTALANDS LÄN</t>
        </is>
      </c>
      <c r="G684" t="inlineStr">
        <is>
          <t>MARK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1932-2020</t>
        </is>
      </c>
      <c r="B685" t="inlineStr">
        <is>
          <t>samrådsanmälan</t>
        </is>
      </c>
      <c r="C685" t="n">
        <v/>
      </c>
      <c r="D685" s="1" t="n">
        <v>44088</v>
      </c>
      <c r="E685" s="1" t="n">
        <v>46223</v>
      </c>
      <c r="F685" t="inlineStr">
        <is>
          <t>VÄSTRA GÖTALANDS LÄN</t>
        </is>
      </c>
      <c r="G685" t="inlineStr">
        <is>
          <t>MARK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2896-2022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44711</v>
      </c>
      <c r="E686" s="1" t="n">
        <v>46223</v>
      </c>
      <c r="F686" t="inlineStr">
        <is>
          <t>VÄSTRA GÖTALANDS LÄN</t>
        </is>
      </c>
      <c r="G686" t="inlineStr">
        <is>
          <t>MARK</t>
        </is>
      </c>
      <c r="I686" t="n">
        <v>30.7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7392-2021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44470</v>
      </c>
      <c r="E687" s="1" t="n">
        <v>46223</v>
      </c>
      <c r="F687" t="inlineStr">
        <is>
          <t>VÄSTRA GÖTALANDS LÄN</t>
        </is>
      </c>
      <c r="G687" t="inlineStr">
        <is>
          <t>MARK</t>
        </is>
      </c>
      <c r="I687" t="n">
        <v>69.5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506-2023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46223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479-2024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45343</v>
      </c>
      <c r="E689" s="1" t="n">
        <v>46223</v>
      </c>
      <c r="F689" t="inlineStr">
        <is>
          <t>VÄSTRA GÖTALANDS LÄN</t>
        </is>
      </c>
      <c r="G689" t="inlineStr">
        <is>
          <t>MARK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505-2023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44966</v>
      </c>
      <c r="E690" s="1" t="n">
        <v>46223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Kommuner</t>
        </is>
      </c>
      <c r="I690" t="n">
        <v>18.1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1444-2025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45785</v>
      </c>
      <c r="E691" s="1" t="n">
        <v>46223</v>
      </c>
      <c r="F691" t="inlineStr">
        <is>
          <t>VÄSTRA GÖTALANDS LÄN</t>
        </is>
      </c>
      <c r="G691" t="inlineStr">
        <is>
          <t>MARK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2056-2025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45839</v>
      </c>
      <c r="E692" s="1" t="n">
        <v>46223</v>
      </c>
      <c r="F692" t="inlineStr">
        <is>
          <t>VÄSTRA GÖTALANDS LÄN</t>
        </is>
      </c>
      <c r="G692" t="inlineStr">
        <is>
          <t>MARK</t>
        </is>
      </c>
      <c r="H692" t="inlineStr">
        <is>
          <t>Sveaskog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2083-2025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45841</v>
      </c>
      <c r="E693" s="1" t="n">
        <v>46223</v>
      </c>
      <c r="F693" t="inlineStr">
        <is>
          <t>VÄSTRA GÖTALANDS LÄN</t>
        </is>
      </c>
      <c r="G693" t="inlineStr">
        <is>
          <t>MARK</t>
        </is>
      </c>
      <c r="I693" t="n">
        <v>14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495-2025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45705</v>
      </c>
      <c r="E694" s="1" t="n">
        <v>46223</v>
      </c>
      <c r="F694" t="inlineStr">
        <is>
          <t>VÄSTRA GÖTALANDS LÄN</t>
        </is>
      </c>
      <c r="G694" t="inlineStr">
        <is>
          <t>MARK</t>
        </is>
      </c>
      <c r="I694" t="n">
        <v>41.1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4332-2023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45261</v>
      </c>
      <c r="E695" s="1" t="n">
        <v>46223</v>
      </c>
      <c r="F695" t="inlineStr">
        <is>
          <t>VÄSTRA GÖTALANDS LÄN</t>
        </is>
      </c>
      <c r="G695" t="inlineStr">
        <is>
          <t>MARK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1201-2023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45022</v>
      </c>
      <c r="E696" s="1" t="n">
        <v>46223</v>
      </c>
      <c r="F696" t="inlineStr">
        <is>
          <t>VÄSTRA GÖTALANDS LÄN</t>
        </is>
      </c>
      <c r="G696" t="inlineStr">
        <is>
          <t>MARK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143-2026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46223</v>
      </c>
      <c r="F697" t="inlineStr">
        <is>
          <t>VÄSTRA GÖTALANDS LÄN</t>
        </is>
      </c>
      <c r="G697" t="inlineStr">
        <is>
          <t>MARK</t>
        </is>
      </c>
      <c r="I697" t="n">
        <v>46.7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880-2026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46107</v>
      </c>
      <c r="E698" s="1" t="n">
        <v>46223</v>
      </c>
      <c r="F698" t="inlineStr">
        <is>
          <t>VÄSTRA GÖTALANDS LÄN</t>
        </is>
      </c>
      <c r="G698" t="inlineStr">
        <is>
          <t>MARK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>
      <c r="A699" t="inlineStr">
        <is>
          <t>S 1111-2026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46132</v>
      </c>
      <c r="E699" s="1" t="n">
        <v>46223</v>
      </c>
      <c r="F699" t="inlineStr">
        <is>
          <t>VÄSTRA GÖTALANDS LÄN</t>
        </is>
      </c>
      <c r="G699" t="inlineStr">
        <is>
          <t>MARK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2026-07-20T01:49:06Z</dcterms:created>
  <dcterms:modified xmlns:dcterms="http://purl.org/dc/terms/" xmlns:xsi="http://www.w3.org/2001/XMLSchema-instance" xsi:type="dcterms:W3CDTF">2026-07-20T01:49:06Z</dcterms:modified>
</cp:coreProperties>
</file>