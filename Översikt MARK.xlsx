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46205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46205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46205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46205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46205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46205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51553-2023</t>
        </is>
      </c>
      <c r="B8" s="1" t="n">
        <v>45222</v>
      </c>
      <c r="C8" s="1" t="n">
        <v>46205</v>
      </c>
      <c r="D8" t="inlineStr">
        <is>
          <t>VÄSTRA GÖTALANDS LÄN</t>
        </is>
      </c>
      <c r="E8" t="inlineStr">
        <is>
          <t>MARK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Fällmossa
Guldlockmossa</t>
        </is>
      </c>
      <c r="S8">
        <f>HYPERLINK("https://klasma.github.io/Logging_1463/artfynd/A 51553-2023 artfynd.xlsx", "A 51553-2023")</f>
        <v/>
      </c>
      <c r="T8">
        <f>HYPERLINK("https://klasma.github.io/Logging_1463/kartor/A 51553-2023 karta.png", "A 51553-2023")</f>
        <v/>
      </c>
      <c r="V8">
        <f>HYPERLINK("https://klasma.github.io/Logging_1463/klagomål/A 51553-2023 FSC-klagomål.docx", "A 51553-2023")</f>
        <v/>
      </c>
      <c r="W8">
        <f>HYPERLINK("https://klasma.github.io/Logging_1463/klagomålsmail/A 51553-2023 FSC-klagomål mail.docx", "A 51553-2023")</f>
        <v/>
      </c>
      <c r="X8">
        <f>HYPERLINK("https://klasma.github.io/Logging_1463/tillsyn/A 51553-2023 tillsynsbegäran.docx", "A 51553-2023")</f>
        <v/>
      </c>
      <c r="Y8">
        <f>HYPERLINK("https://klasma.github.io/Logging_1463/tillsynsmail/A 51553-2023 tillsynsbegäran mail.docx", "A 51553-2023")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46205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3653-2023</t>
        </is>
      </c>
      <c r="B10" s="1" t="n">
        <v>44950</v>
      </c>
      <c r="C10" s="1" t="n">
        <v>46205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Slemjordtunga
Vitvaxing agg.</t>
        </is>
      </c>
      <c r="S10">
        <f>HYPERLINK("https://klasma.github.io/Logging_1463/artfynd/A 3653-2023 artfynd.xlsx", "A 3653-2023")</f>
        <v/>
      </c>
      <c r="T10">
        <f>HYPERLINK("https://klasma.github.io/Logging_1463/kartor/A 3653-2023 karta.png", "A 3653-2023")</f>
        <v/>
      </c>
      <c r="V10">
        <f>HYPERLINK("https://klasma.github.io/Logging_1463/klagomål/A 3653-2023 FSC-klagomål.docx", "A 3653-2023")</f>
        <v/>
      </c>
      <c r="W10">
        <f>HYPERLINK("https://klasma.github.io/Logging_1463/klagomålsmail/A 3653-2023 FSC-klagomål mail.docx", "A 3653-2023")</f>
        <v/>
      </c>
      <c r="X10">
        <f>HYPERLINK("https://klasma.github.io/Logging_1463/tillsyn/A 3653-2023 tillsynsbegäran.docx", "A 3653-2023")</f>
        <v/>
      </c>
      <c r="Y10">
        <f>HYPERLINK("https://klasma.github.io/Logging_1463/tillsynsmail/A 3653-2023 tillsynsbegäran mail.docx", "A 3653-2023")</f>
        <v/>
      </c>
    </row>
    <row r="11" ht="15" customHeight="1">
      <c r="A11" t="inlineStr">
        <is>
          <t>A 55856-2025</t>
        </is>
      </c>
      <c r="B11" s="1" t="n">
        <v>45973</v>
      </c>
      <c r="C11" s="1" t="n">
        <v>46205</v>
      </c>
      <c r="D11" t="inlineStr">
        <is>
          <t>VÄSTRA GÖTALANDS LÄN</t>
        </is>
      </c>
      <c r="E11" t="inlineStr">
        <is>
          <t>MARK</t>
        </is>
      </c>
      <c r="G11" t="n">
        <v>5.1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HYPERLINK("https://klasma.github.io/Logging_1463/artfynd/A 55856-2025 artfynd.xlsx", "A 55856-2025")</f>
        <v/>
      </c>
      <c r="T11">
        <f>HYPERLINK("https://klasma.github.io/Logging_1463/kartor/A 55856-2025 karta.png", "A 55856-2025")</f>
        <v/>
      </c>
      <c r="V11">
        <f>HYPERLINK("https://klasma.github.io/Logging_1463/klagomål/A 55856-2025 FSC-klagomål.docx", "A 55856-2025")</f>
        <v/>
      </c>
      <c r="W11">
        <f>HYPERLINK("https://klasma.github.io/Logging_1463/klagomålsmail/A 55856-2025 FSC-klagomål mail.docx", "A 55856-2025")</f>
        <v/>
      </c>
      <c r="X11">
        <f>HYPERLINK("https://klasma.github.io/Logging_1463/tillsyn/A 55856-2025 tillsynsbegäran.docx", "A 55856-2025")</f>
        <v/>
      </c>
      <c r="Y11">
        <f>HYPERLINK("https://klasma.github.io/Logging_1463/tillsynsmail/A 55856-2025 tillsynsbegäran mail.docx", "A 55856-2025")</f>
        <v/>
      </c>
      <c r="Z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s="1" t="n">
        <v>46001</v>
      </c>
      <c r="C12" s="1" t="n">
        <v>46205</v>
      </c>
      <c r="D12" t="inlineStr">
        <is>
          <t>VÄSTRA GÖTALANDS LÄN</t>
        </is>
      </c>
      <c r="E12" t="inlineStr">
        <is>
          <t>MARK</t>
        </is>
      </c>
      <c r="G12" t="n">
        <v>12.5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Blomkålssvamp</t>
        </is>
      </c>
      <c r="S12">
        <f>HYPERLINK("https://klasma.github.io/Logging_1463/artfynd/A 61493-2025 artfynd.xlsx", "A 61493-2025")</f>
        <v/>
      </c>
      <c r="T12">
        <f>HYPERLINK("https://klasma.github.io/Logging_1463/kartor/A 61493-2025 karta.png", "A 61493-2025")</f>
        <v/>
      </c>
      <c r="U12">
        <f>HYPERLINK("https://klasma.github.io/Logging_1463/knärot/A 61493-2025 karta knärot.png", "A 61493-2025")</f>
        <v/>
      </c>
      <c r="V12">
        <f>HYPERLINK("https://klasma.github.io/Logging_1463/klagomål/A 61493-2025 FSC-klagomål.docx", "A 61493-2025")</f>
        <v/>
      </c>
      <c r="W12">
        <f>HYPERLINK("https://klasma.github.io/Logging_1463/klagomålsmail/A 61493-2025 FSC-klagomål mail.docx", "A 61493-2025")</f>
        <v/>
      </c>
      <c r="X12">
        <f>HYPERLINK("https://klasma.github.io/Logging_1463/tillsyn/A 61493-2025 tillsynsbegäran.docx", "A 61493-2025")</f>
        <v/>
      </c>
      <c r="Y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s="1" t="n">
        <v>46006</v>
      </c>
      <c r="C13" s="1" t="n">
        <v>46205</v>
      </c>
      <c r="D13" t="inlineStr">
        <is>
          <t>VÄSTRA GÖTALANDS LÄN</t>
        </is>
      </c>
      <c r="E13" t="inlineStr">
        <is>
          <t>MARK</t>
        </is>
      </c>
      <c r="G13" t="n">
        <v>9.800000000000001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62079-2025 artfynd.xlsx", "A 62079-2025")</f>
        <v/>
      </c>
      <c r="T13">
        <f>HYPERLINK("https://klasma.github.io/Logging_1463/kartor/A 62079-2025 karta.png", "A 62079-2025")</f>
        <v/>
      </c>
      <c r="V13">
        <f>HYPERLINK("https://klasma.github.io/Logging_1463/klagomål/A 62079-2025 FSC-klagomål.docx", "A 62079-2025")</f>
        <v/>
      </c>
      <c r="W13">
        <f>HYPERLINK("https://klasma.github.io/Logging_1463/klagomålsmail/A 62079-2025 FSC-klagomål mail.docx", "A 62079-2025")</f>
        <v/>
      </c>
      <c r="X13">
        <f>HYPERLINK("https://klasma.github.io/Logging_1463/tillsyn/A 62079-2025 tillsynsbegäran.docx", "A 62079-2025")</f>
        <v/>
      </c>
      <c r="Y13">
        <f>HYPERLINK("https://klasma.github.io/Logging_1463/tillsynsmail/A 62079-2025 tillsynsbegäran mail.docx", "A 62079-2025")</f>
        <v/>
      </c>
    </row>
    <row r="14" ht="15" customHeight="1">
      <c r="A14" t="inlineStr">
        <is>
          <t>A 59419-2024</t>
        </is>
      </c>
      <c r="B14" s="1" t="n">
        <v>45638</v>
      </c>
      <c r="C14" s="1" t="n">
        <v>46205</v>
      </c>
      <c r="D14" t="inlineStr">
        <is>
          <t>VÄSTRA GÖTALANDS LÄN</t>
        </is>
      </c>
      <c r="E14" t="inlineStr">
        <is>
          <t>MARK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Vanlig groda</t>
        </is>
      </c>
      <c r="S14">
        <f>HYPERLINK("https://klasma.github.io/Logging_1463/artfynd/A 59419-2024 artfynd.xlsx", "A 59419-2024")</f>
        <v/>
      </c>
      <c r="T14">
        <f>HYPERLINK("https://klasma.github.io/Logging_1463/kartor/A 59419-2024 karta.png", "A 59419-2024")</f>
        <v/>
      </c>
      <c r="V14">
        <f>HYPERLINK("https://klasma.github.io/Logging_1463/klagomål/A 59419-2024 FSC-klagomål.docx", "A 59419-2024")</f>
        <v/>
      </c>
      <c r="W14">
        <f>HYPERLINK("https://klasma.github.io/Logging_1463/klagomålsmail/A 59419-2024 FSC-klagomål mail.docx", "A 59419-2024")</f>
        <v/>
      </c>
      <c r="X14">
        <f>HYPERLINK("https://klasma.github.io/Logging_1463/tillsyn/A 59419-2024 tillsynsbegäran.docx", "A 59419-2024")</f>
        <v/>
      </c>
      <c r="Y14">
        <f>HYPERLINK("https://klasma.github.io/Logging_1463/tillsynsmail/A 59419-2024 tillsynsbegäran mail.docx", "A 59419-2024")</f>
        <v/>
      </c>
      <c r="Z14">
        <f>HYPERLINK("https://klasma.github.io/Logging_1463/fåglar/A 59419-2024 prioriterade fågelarter.docx", "A 59419-2024")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46205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46205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Stor revmossa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46205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Ål
Öring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2366-2025</t>
        </is>
      </c>
      <c r="B18" s="1" t="n">
        <v>45673</v>
      </c>
      <c r="C18" s="1" t="n">
        <v>46205</v>
      </c>
      <c r="D18" t="inlineStr">
        <is>
          <t>VÄSTRA GÖTALANDS LÄN</t>
        </is>
      </c>
      <c r="E18" t="inlineStr">
        <is>
          <t>MARK</t>
        </is>
      </c>
      <c r="G18" t="n">
        <v>2.8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Guldlockmossa</t>
        </is>
      </c>
      <c r="S18">
        <f>HYPERLINK("https://klasma.github.io/Logging_1463/artfynd/A 2366-2025 artfynd.xlsx", "A 2366-2025")</f>
        <v/>
      </c>
      <c r="T18">
        <f>HYPERLINK("https://klasma.github.io/Logging_1463/kartor/A 2366-2025 karta.png", "A 2366-2025")</f>
        <v/>
      </c>
      <c r="V18">
        <f>HYPERLINK("https://klasma.github.io/Logging_1463/klagomål/A 2366-2025 FSC-klagomål.docx", "A 2366-2025")</f>
        <v/>
      </c>
      <c r="W18">
        <f>HYPERLINK("https://klasma.github.io/Logging_1463/klagomålsmail/A 2366-2025 FSC-klagomål mail.docx", "A 2366-2025")</f>
        <v/>
      </c>
      <c r="X18">
        <f>HYPERLINK("https://klasma.github.io/Logging_1463/tillsyn/A 2366-2025 tillsynsbegäran.docx", "A 2366-2025")</f>
        <v/>
      </c>
      <c r="Y18">
        <f>HYPERLINK("https://klasma.github.io/Logging_1463/tillsynsmail/A 2366-2025 tillsynsbegäran mail.docx", "A 2366-2025")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46205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46205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46205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s="1" t="n">
        <v>45091</v>
      </c>
      <c r="C22" s="1" t="n">
        <v>46205</v>
      </c>
      <c r="D22" t="inlineStr">
        <is>
          <t>VÄSTRA GÖTALANDS LÄN</t>
        </is>
      </c>
      <c r="E22" t="inlineStr">
        <is>
          <t>MARK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26050-2023 artfynd.xlsx", "A 26050-2023")</f>
        <v/>
      </c>
      <c r="T22">
        <f>HYPERLINK("https://klasma.github.io/Logging_1463/kartor/A 26050-2023 karta.png", "A 26050-2023")</f>
        <v/>
      </c>
      <c r="V22">
        <f>HYPERLINK("https://klasma.github.io/Logging_1463/klagomål/A 26050-2023 FSC-klagomål.docx", "A 26050-2023")</f>
        <v/>
      </c>
      <c r="W22">
        <f>HYPERLINK("https://klasma.github.io/Logging_1463/klagomålsmail/A 26050-2023 FSC-klagomål mail.docx", "A 26050-2023")</f>
        <v/>
      </c>
      <c r="X22">
        <f>HYPERLINK("https://klasma.github.io/Logging_1463/tillsyn/A 26050-2023 tillsynsbegäran.docx", "A 26050-2023")</f>
        <v/>
      </c>
      <c r="Y22">
        <f>HYPERLINK("https://klasma.github.io/Logging_1463/tillsynsmail/A 26050-2023 tillsynsbegäran mail.docx", "A 26050-2023")</f>
        <v/>
      </c>
    </row>
    <row r="23" ht="15" customHeight="1">
      <c r="A23" t="inlineStr">
        <is>
          <t>A 62725-2023</t>
        </is>
      </c>
      <c r="B23" s="1" t="n">
        <v>45271</v>
      </c>
      <c r="C23" s="1" t="n">
        <v>46205</v>
      </c>
      <c r="D23" t="inlineStr">
        <is>
          <t>VÄSTRA GÖTALANDS LÄN</t>
        </is>
      </c>
      <c r="E23" t="inlineStr">
        <is>
          <t>MARK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62725-2023 artfynd.xlsx", "A 62725-2023")</f>
        <v/>
      </c>
      <c r="T23">
        <f>HYPERLINK("https://klasma.github.io/Logging_1463/kartor/A 62725-2023 karta.png", "A 62725-2023")</f>
        <v/>
      </c>
      <c r="V23">
        <f>HYPERLINK("https://klasma.github.io/Logging_1463/klagomål/A 62725-2023 FSC-klagomål.docx", "A 62725-2023")</f>
        <v/>
      </c>
      <c r="W23">
        <f>HYPERLINK("https://klasma.github.io/Logging_1463/klagomålsmail/A 62725-2023 FSC-klagomål mail.docx", "A 62725-2023")</f>
        <v/>
      </c>
      <c r="X23">
        <f>HYPERLINK("https://klasma.github.io/Logging_1463/tillsyn/A 62725-2023 tillsynsbegäran.docx", "A 62725-2023")</f>
        <v/>
      </c>
      <c r="Y23">
        <f>HYPERLINK("https://klasma.github.io/Logging_1463/tillsynsmail/A 62725-2023 tillsynsbegäran mail.docx", "A 62725-2023")</f>
        <v/>
      </c>
    </row>
    <row r="24" ht="15" customHeight="1">
      <c r="A24" t="inlineStr">
        <is>
          <t>A 363-2026</t>
        </is>
      </c>
      <c r="B24" s="1" t="n">
        <v>46027</v>
      </c>
      <c r="C24" s="1" t="n">
        <v>46205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Öring</t>
        </is>
      </c>
      <c r="S24">
        <f>HYPERLINK("https://klasma.github.io/Logging_1463/artfynd/A 363-2026 artfynd.xlsx", "A 363-2026")</f>
        <v/>
      </c>
      <c r="T24">
        <f>HYPERLINK("https://klasma.github.io/Logging_1463/kartor/A 363-2026 karta.png", "A 363-2026")</f>
        <v/>
      </c>
      <c r="V24">
        <f>HYPERLINK("https://klasma.github.io/Logging_1463/klagomål/A 363-2026 FSC-klagomål.docx", "A 363-2026")</f>
        <v/>
      </c>
      <c r="W24">
        <f>HYPERLINK("https://klasma.github.io/Logging_1463/klagomålsmail/A 363-2026 FSC-klagomål mail.docx", "A 363-2026")</f>
        <v/>
      </c>
      <c r="X24">
        <f>HYPERLINK("https://klasma.github.io/Logging_1463/tillsyn/A 363-2026 tillsynsbegäran.docx", "A 363-2026")</f>
        <v/>
      </c>
      <c r="Y24">
        <f>HYPERLINK("https://klasma.github.io/Logging_1463/tillsynsmail/A 363-2026 tillsynsbegäran mail.docx", "A 363-2026")</f>
        <v/>
      </c>
    </row>
    <row r="25" ht="15" customHeight="1">
      <c r="A25" t="inlineStr">
        <is>
          <t>A 40642-2025</t>
        </is>
      </c>
      <c r="B25" s="1" t="n">
        <v>45896</v>
      </c>
      <c r="C25" s="1" t="n">
        <v>46205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4304-2024</t>
        </is>
      </c>
      <c r="B26" s="1" t="n">
        <v>45324</v>
      </c>
      <c r="C26" s="1" t="n">
        <v>46205</v>
      </c>
      <c r="D26" t="inlineStr">
        <is>
          <t>VÄSTRA GÖTALANDS LÄN</t>
        </is>
      </c>
      <c r="E26" t="inlineStr">
        <is>
          <t>MARK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4304-2024 artfynd.xlsx", "A 4304-2024")</f>
        <v/>
      </c>
      <c r="T26">
        <f>HYPERLINK("https://klasma.github.io/Logging_1463/kartor/A 4304-2024 karta.png", "A 4304-2024")</f>
        <v/>
      </c>
      <c r="V26">
        <f>HYPERLINK("https://klasma.github.io/Logging_1463/klagomål/A 4304-2024 FSC-klagomål.docx", "A 4304-2024")</f>
        <v/>
      </c>
      <c r="W26">
        <f>HYPERLINK("https://klasma.github.io/Logging_1463/klagomålsmail/A 4304-2024 FSC-klagomål mail.docx", "A 4304-2024")</f>
        <v/>
      </c>
      <c r="X26">
        <f>HYPERLINK("https://klasma.github.io/Logging_1463/tillsyn/A 4304-2024 tillsynsbegäran.docx", "A 4304-2024")</f>
        <v/>
      </c>
      <c r="Y26">
        <f>HYPERLINK("https://klasma.github.io/Logging_1463/tillsynsmail/A 4304-2024 tillsynsbegäran mail.docx", "A 4304-2024")</f>
        <v/>
      </c>
    </row>
    <row r="27" ht="15" customHeight="1">
      <c r="A27" t="inlineStr">
        <is>
          <t>A 34899-2025</t>
        </is>
      </c>
      <c r="B27" s="1" t="n">
        <v>45849</v>
      </c>
      <c r="C27" s="1" t="n">
        <v>46205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54675-2024</t>
        </is>
      </c>
      <c r="B28" s="1" t="n">
        <v>45618</v>
      </c>
      <c r="C28" s="1" t="n">
        <v>46205</v>
      </c>
      <c r="D28" t="inlineStr">
        <is>
          <t>VÄSTRA GÖTALANDS LÄN</t>
        </is>
      </c>
      <c r="E28" t="inlineStr">
        <is>
          <t>MARK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HYPERLINK("https://klasma.github.io/Logging_1463/artfynd/A 54675-2024 artfynd.xlsx", "A 54675-2024")</f>
        <v/>
      </c>
      <c r="T28">
        <f>HYPERLINK("https://klasma.github.io/Logging_1463/kartor/A 54675-2024 karta.png", "A 54675-2024")</f>
        <v/>
      </c>
      <c r="V28">
        <f>HYPERLINK("https://klasma.github.io/Logging_1463/klagomål/A 54675-2024 FSC-klagomål.docx", "A 54675-2024")</f>
        <v/>
      </c>
      <c r="W28">
        <f>HYPERLINK("https://klasma.github.io/Logging_1463/klagomålsmail/A 54675-2024 FSC-klagomål mail.docx", "A 54675-2024")</f>
        <v/>
      </c>
      <c r="X28">
        <f>HYPERLINK("https://klasma.github.io/Logging_1463/tillsyn/A 54675-2024 tillsynsbegäran.docx", "A 54675-2024")</f>
        <v/>
      </c>
      <c r="Y28">
        <f>HYPERLINK("https://klasma.github.io/Logging_1463/tillsynsmail/A 54675-2024 tillsynsbegäran mail.docx", "A 54675-2024")</f>
        <v/>
      </c>
    </row>
    <row r="29" ht="15" customHeight="1">
      <c r="A29" t="inlineStr">
        <is>
          <t>A 49725-2024</t>
        </is>
      </c>
      <c r="B29" s="1" t="n">
        <v>45596</v>
      </c>
      <c r="C29" s="1" t="n">
        <v>46205</v>
      </c>
      <c r="D29" t="inlineStr">
        <is>
          <t>VÄSTRA GÖTALANDS LÄN</t>
        </is>
      </c>
      <c r="E29" t="inlineStr">
        <is>
          <t>MARK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HYPERLINK("https://klasma.github.io/Logging_1463/artfynd/A 49725-2024 artfynd.xlsx", "A 49725-2024")</f>
        <v/>
      </c>
      <c r="T29">
        <f>HYPERLINK("https://klasma.github.io/Logging_1463/kartor/A 49725-2024 karta.png", "A 49725-2024")</f>
        <v/>
      </c>
      <c r="V29">
        <f>HYPERLINK("https://klasma.github.io/Logging_1463/klagomål/A 49725-2024 FSC-klagomål.docx", "A 49725-2024")</f>
        <v/>
      </c>
      <c r="W29">
        <f>HYPERLINK("https://klasma.github.io/Logging_1463/klagomålsmail/A 49725-2024 FSC-klagomål mail.docx", "A 49725-2024")</f>
        <v/>
      </c>
      <c r="X29">
        <f>HYPERLINK("https://klasma.github.io/Logging_1463/tillsyn/A 49725-2024 tillsynsbegäran.docx", "A 49725-2024")</f>
        <v/>
      </c>
      <c r="Y29">
        <f>HYPERLINK("https://klasma.github.io/Logging_1463/tillsynsmail/A 49725-2024 tillsynsbegäran mail.docx", "A 49725-2024")</f>
        <v/>
      </c>
    </row>
    <row r="30" ht="15" customHeight="1">
      <c r="A30" t="inlineStr">
        <is>
          <t>A 16279-2025</t>
        </is>
      </c>
      <c r="B30" s="1" t="n">
        <v>45751</v>
      </c>
      <c r="C30" s="1" t="n">
        <v>46205</v>
      </c>
      <c r="D30" t="inlineStr">
        <is>
          <t>VÄSTRA GÖTALANDS LÄN</t>
        </is>
      </c>
      <c r="E30" t="inlineStr">
        <is>
          <t>MARK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HYPERLINK("https://klasma.github.io/Logging_1463/artfynd/A 16279-2025 artfynd.xlsx", "A 16279-2025")</f>
        <v/>
      </c>
      <c r="T30">
        <f>HYPERLINK("https://klasma.github.io/Logging_1463/kartor/A 16279-2025 karta.png", "A 16279-2025")</f>
        <v/>
      </c>
      <c r="V30">
        <f>HYPERLINK("https://klasma.github.io/Logging_1463/klagomål/A 16279-2025 FSC-klagomål.docx", "A 16279-2025")</f>
        <v/>
      </c>
      <c r="W30">
        <f>HYPERLINK("https://klasma.github.io/Logging_1463/klagomålsmail/A 16279-2025 FSC-klagomål mail.docx", "A 16279-2025")</f>
        <v/>
      </c>
      <c r="X30">
        <f>HYPERLINK("https://klasma.github.io/Logging_1463/tillsyn/A 16279-2025 tillsynsbegäran.docx", "A 16279-2025")</f>
        <v/>
      </c>
      <c r="Y30">
        <f>HYPERLINK("https://klasma.github.io/Logging_1463/tillsynsmail/A 16279-2025 tillsynsbegäran mail.docx", "A 16279-2025")</f>
        <v/>
      </c>
    </row>
    <row r="31" ht="15" customHeight="1">
      <c r="A31" t="inlineStr">
        <is>
          <t>A 16277-2025</t>
        </is>
      </c>
      <c r="B31" s="1" t="n">
        <v>45751</v>
      </c>
      <c r="C31" s="1" t="n">
        <v>46205</v>
      </c>
      <c r="D31" t="inlineStr">
        <is>
          <t>VÄSTRA GÖTALANDS LÄN</t>
        </is>
      </c>
      <c r="E31" t="inlineStr">
        <is>
          <t>MARK</t>
        </is>
      </c>
      <c r="F31" t="inlineStr">
        <is>
          <t>Sveaskog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HYPERLINK("https://klasma.github.io/Logging_1463/artfynd/A 16277-2025 artfynd.xlsx", "A 16277-2025")</f>
        <v/>
      </c>
      <c r="T31">
        <f>HYPERLINK("https://klasma.github.io/Logging_1463/kartor/A 16277-2025 karta.png", "A 16277-2025")</f>
        <v/>
      </c>
      <c r="V31">
        <f>HYPERLINK("https://klasma.github.io/Logging_1463/klagomål/A 16277-2025 FSC-klagomål.docx", "A 16277-2025")</f>
        <v/>
      </c>
      <c r="W31">
        <f>HYPERLINK("https://klasma.github.io/Logging_1463/klagomålsmail/A 16277-2025 FSC-klagomål mail.docx", "A 16277-2025")</f>
        <v/>
      </c>
      <c r="X31">
        <f>HYPERLINK("https://klasma.github.io/Logging_1463/tillsyn/A 16277-2025 tillsynsbegäran.docx", "A 16277-2025")</f>
        <v/>
      </c>
      <c r="Y31">
        <f>HYPERLINK("https://klasma.github.io/Logging_1463/tillsynsmail/A 16277-2025 tillsynsbegäran mail.docx", "A 16277-2025")</f>
        <v/>
      </c>
    </row>
    <row r="32" ht="15" customHeight="1">
      <c r="A32" t="inlineStr">
        <is>
          <t>A 45268-2023</t>
        </is>
      </c>
      <c r="B32" s="1" t="n">
        <v>45191</v>
      </c>
      <c r="C32" s="1" t="n">
        <v>46205</v>
      </c>
      <c r="D32" t="inlineStr">
        <is>
          <t>VÄSTRA GÖTALANDS LÄN</t>
        </is>
      </c>
      <c r="E32" t="inlineStr">
        <is>
          <t>MARK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HYPERLINK("https://klasma.github.io/Logging_1463/artfynd/A 45268-2023 artfynd.xlsx", "A 45268-2023")</f>
        <v/>
      </c>
      <c r="T32">
        <f>HYPERLINK("https://klasma.github.io/Logging_1463/kartor/A 45268-2023 karta.png", "A 45268-2023")</f>
        <v/>
      </c>
      <c r="V32">
        <f>HYPERLINK("https://klasma.github.io/Logging_1463/klagomål/A 45268-2023 FSC-klagomål.docx", "A 45268-2023")</f>
        <v/>
      </c>
      <c r="W32">
        <f>HYPERLINK("https://klasma.github.io/Logging_1463/klagomålsmail/A 45268-2023 FSC-klagomål mail.docx", "A 45268-2023")</f>
        <v/>
      </c>
      <c r="X32">
        <f>HYPERLINK("https://klasma.github.io/Logging_1463/tillsyn/A 45268-2023 tillsynsbegäran.docx", "A 45268-2023")</f>
        <v/>
      </c>
      <c r="Y32">
        <f>HYPERLINK("https://klasma.github.io/Logging_1463/tillsynsmail/A 45268-2023 tillsynsbegäran mail.docx", "A 45268-2023")</f>
        <v/>
      </c>
    </row>
    <row r="33" ht="15" customHeight="1">
      <c r="A33" t="inlineStr">
        <is>
          <t>A 40255-2023</t>
        </is>
      </c>
      <c r="B33" s="1" t="n">
        <v>45169</v>
      </c>
      <c r="C33" s="1" t="n">
        <v>46205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40255-2023 artfynd.xlsx", "A 40255-2023")</f>
        <v/>
      </c>
      <c r="T33">
        <f>HYPERLINK("https://klasma.github.io/Logging_1463/kartor/A 40255-2023 karta.png", "A 40255-2023")</f>
        <v/>
      </c>
      <c r="V33">
        <f>HYPERLINK("https://klasma.github.io/Logging_1463/klagomål/A 40255-2023 FSC-klagomål.docx", "A 40255-2023")</f>
        <v/>
      </c>
      <c r="W33">
        <f>HYPERLINK("https://klasma.github.io/Logging_1463/klagomålsmail/A 40255-2023 FSC-klagomål mail.docx", "A 40255-2023")</f>
        <v/>
      </c>
      <c r="X33">
        <f>HYPERLINK("https://klasma.github.io/Logging_1463/tillsyn/A 40255-2023 tillsynsbegäran.docx", "A 40255-2023")</f>
        <v/>
      </c>
      <c r="Y33">
        <f>HYPERLINK("https://klasma.github.io/Logging_1463/tillsynsmail/A 40255-2023 tillsynsbegäran mail.docx", "A 40255-2023")</f>
        <v/>
      </c>
    </row>
    <row r="34" ht="15" customHeight="1">
      <c r="A34" t="inlineStr">
        <is>
          <t>A 1634-2024</t>
        </is>
      </c>
      <c r="B34" s="1" t="n">
        <v>45306</v>
      </c>
      <c r="C34" s="1" t="n">
        <v>46205</v>
      </c>
      <c r="D34" t="inlineStr">
        <is>
          <t>VÄSTRA GÖTALANDS LÄN</t>
        </is>
      </c>
      <c r="E34" t="inlineStr">
        <is>
          <t>MARK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HYPERLINK("https://klasma.github.io/Logging_1463/artfynd/A 1634-2024 artfynd.xlsx", "A 1634-2024")</f>
        <v/>
      </c>
      <c r="T34">
        <f>HYPERLINK("https://klasma.github.io/Logging_1463/kartor/A 1634-2024 karta.png", "A 1634-2024")</f>
        <v/>
      </c>
      <c r="V34">
        <f>HYPERLINK("https://klasma.github.io/Logging_1463/klagomål/A 1634-2024 FSC-klagomål.docx", "A 1634-2024")</f>
        <v/>
      </c>
      <c r="W34">
        <f>HYPERLINK("https://klasma.github.io/Logging_1463/klagomålsmail/A 1634-2024 FSC-klagomål mail.docx", "A 1634-2024")</f>
        <v/>
      </c>
      <c r="X34">
        <f>HYPERLINK("https://klasma.github.io/Logging_1463/tillsyn/A 1634-2024 tillsynsbegäran.docx", "A 1634-2024")</f>
        <v/>
      </c>
      <c r="Y34">
        <f>HYPERLINK("https://klasma.github.io/Logging_1463/tillsynsmail/A 1634-2024 tillsynsbegäran mail.docx", "A 1634-2024")</f>
        <v/>
      </c>
    </row>
    <row r="35" ht="15" customHeight="1">
      <c r="A35" t="inlineStr">
        <is>
          <t>A 26683-2025</t>
        </is>
      </c>
      <c r="B35" s="1" t="n">
        <v>45810</v>
      </c>
      <c r="C35" s="1" t="n">
        <v>46205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Öring</t>
        </is>
      </c>
      <c r="S35">
        <f>HYPERLINK("https://klasma.github.io/Logging_1463/artfynd/A 26683-2025 artfynd.xlsx", "A 26683-2025")</f>
        <v/>
      </c>
      <c r="T35">
        <f>HYPERLINK("https://klasma.github.io/Logging_1463/kartor/A 26683-2025 karta.png", "A 26683-2025")</f>
        <v/>
      </c>
      <c r="V35">
        <f>HYPERLINK("https://klasma.github.io/Logging_1463/klagomål/A 26683-2025 FSC-klagomål.docx", "A 26683-2025")</f>
        <v/>
      </c>
      <c r="W35">
        <f>HYPERLINK("https://klasma.github.io/Logging_1463/klagomålsmail/A 26683-2025 FSC-klagomål mail.docx", "A 26683-2025")</f>
        <v/>
      </c>
      <c r="X35">
        <f>HYPERLINK("https://klasma.github.io/Logging_1463/tillsyn/A 26683-2025 tillsynsbegäran.docx", "A 26683-2025")</f>
        <v/>
      </c>
      <c r="Y35">
        <f>HYPERLINK("https://klasma.github.io/Logging_1463/tillsynsmail/A 26683-2025 tillsynsbegäran mail.docx", "A 26683-2025")</f>
        <v/>
      </c>
    </row>
    <row r="36" ht="15" customHeight="1">
      <c r="A36" t="inlineStr">
        <is>
          <t>A 33955-2023</t>
        </is>
      </c>
      <c r="B36" s="1" t="n">
        <v>45134</v>
      </c>
      <c r="C36" s="1" t="n">
        <v>46205</v>
      </c>
      <c r="D36" t="inlineStr">
        <is>
          <t>VÄSTRA GÖTALANDS LÄN</t>
        </is>
      </c>
      <c r="E36" t="inlineStr">
        <is>
          <t>MARK</t>
        </is>
      </c>
      <c r="G36" t="n">
        <v>10.7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HYPERLINK("https://klasma.github.io/Logging_1463/artfynd/A 33955-2023 artfynd.xlsx", "A 33955-2023")</f>
        <v/>
      </c>
      <c r="T36">
        <f>HYPERLINK("https://klasma.github.io/Logging_1463/kartor/A 33955-2023 karta.png", "A 33955-2023")</f>
        <v/>
      </c>
      <c r="V36">
        <f>HYPERLINK("https://klasma.github.io/Logging_1463/klagomål/A 33955-2023 FSC-klagomål.docx", "A 33955-2023")</f>
        <v/>
      </c>
      <c r="W36">
        <f>HYPERLINK("https://klasma.github.io/Logging_1463/klagomålsmail/A 33955-2023 FSC-klagomål mail.docx", "A 33955-2023")</f>
        <v/>
      </c>
      <c r="X36">
        <f>HYPERLINK("https://klasma.github.io/Logging_1463/tillsyn/A 33955-2023 tillsynsbegäran.docx", "A 33955-2023")</f>
        <v/>
      </c>
      <c r="Y36">
        <f>HYPERLINK("https://klasma.github.io/Logging_1463/tillsynsmail/A 33955-2023 tillsynsbegäran mail.docx", "A 33955-2023")</f>
        <v/>
      </c>
    </row>
    <row r="37" ht="15" customHeight="1">
      <c r="A37" t="inlineStr">
        <is>
          <t>A 33531-2025</t>
        </is>
      </c>
      <c r="B37" s="1" t="n">
        <v>45841</v>
      </c>
      <c r="C37" s="1" t="n">
        <v>46205</v>
      </c>
      <c r="D37" t="inlineStr">
        <is>
          <t>VÄSTRA GÖTALANDS LÄN</t>
        </is>
      </c>
      <c r="E37" t="inlineStr">
        <is>
          <t>MARK</t>
        </is>
      </c>
      <c r="G37" t="n">
        <v>5.4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HYPERLINK("https://klasma.github.io/Logging_1463/artfynd/A 33531-2025 artfynd.xlsx", "A 33531-2025")</f>
        <v/>
      </c>
      <c r="T37">
        <f>HYPERLINK("https://klasma.github.io/Logging_1463/kartor/A 33531-2025 karta.png", "A 33531-2025")</f>
        <v/>
      </c>
      <c r="V37">
        <f>HYPERLINK("https://klasma.github.io/Logging_1463/klagomål/A 33531-2025 FSC-klagomål.docx", "A 33531-2025")</f>
        <v/>
      </c>
      <c r="W37">
        <f>HYPERLINK("https://klasma.github.io/Logging_1463/klagomålsmail/A 33531-2025 FSC-klagomål mail.docx", "A 33531-2025")</f>
        <v/>
      </c>
      <c r="X37">
        <f>HYPERLINK("https://klasma.github.io/Logging_1463/tillsyn/A 33531-2025 tillsynsbegäran.docx", "A 33531-2025")</f>
        <v/>
      </c>
      <c r="Y37">
        <f>HYPERLINK("https://klasma.github.io/Logging_1463/tillsynsmail/A 33531-2025 tillsynsbegäran mail.docx", "A 33531-2025")</f>
        <v/>
      </c>
    </row>
    <row r="38" ht="15" customHeight="1">
      <c r="A38" t="inlineStr">
        <is>
          <t>A 65145-2023</t>
        </is>
      </c>
      <c r="B38" s="1" t="n">
        <v>45288</v>
      </c>
      <c r="C38" s="1" t="n">
        <v>46205</v>
      </c>
      <c r="D38" t="inlineStr">
        <is>
          <t>VÄSTRA GÖTALANDS LÄN</t>
        </is>
      </c>
      <c r="E38" t="inlineStr">
        <is>
          <t>MARK</t>
        </is>
      </c>
      <c r="G38" t="n">
        <v>18.2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Lilavaxing</t>
        </is>
      </c>
      <c r="S38">
        <f>HYPERLINK("https://klasma.github.io/Logging_1463/artfynd/A 65145-2023 artfynd.xlsx", "A 65145-2023")</f>
        <v/>
      </c>
      <c r="T38">
        <f>HYPERLINK("https://klasma.github.io/Logging_1463/kartor/A 65145-2023 karta.png", "A 65145-2023")</f>
        <v/>
      </c>
      <c r="V38">
        <f>HYPERLINK("https://klasma.github.io/Logging_1463/klagomål/A 65145-2023 FSC-klagomål.docx", "A 65145-2023")</f>
        <v/>
      </c>
      <c r="W38">
        <f>HYPERLINK("https://klasma.github.io/Logging_1463/klagomålsmail/A 65145-2023 FSC-klagomål mail.docx", "A 65145-2023")</f>
        <v/>
      </c>
      <c r="X38">
        <f>HYPERLINK("https://klasma.github.io/Logging_1463/tillsyn/A 65145-2023 tillsynsbegäran.docx", "A 65145-2023")</f>
        <v/>
      </c>
      <c r="Y38">
        <f>HYPERLINK("https://klasma.github.io/Logging_1463/tillsynsmail/A 65145-2023 tillsynsbegäran mail.docx", "A 65145-2023")</f>
        <v/>
      </c>
    </row>
    <row r="39" ht="15" customHeight="1">
      <c r="A39" t="inlineStr">
        <is>
          <t>A 29497-2026</t>
        </is>
      </c>
      <c r="B39" s="1" t="n">
        <v>46203</v>
      </c>
      <c r="C39" s="1" t="n">
        <v>46205</v>
      </c>
      <c r="D39" t="inlineStr">
        <is>
          <t>VÄSTRA GÖTALANDS LÄN</t>
        </is>
      </c>
      <c r="E39" t="inlineStr">
        <is>
          <t>MARK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HYPERLINK("https://klasma.github.io/Logging_1463/artfynd/A 29497-2026 artfynd.xlsx", "A 29497-2026")</f>
        <v/>
      </c>
      <c r="T39">
        <f>HYPERLINK("https://klasma.github.io/Logging_1463/kartor/A 29497-2026 karta.png", "A 29497-2026")</f>
        <v/>
      </c>
      <c r="V39">
        <f>HYPERLINK("https://klasma.github.io/Logging_1463/klagomål/A 29497-2026 FSC-klagomål.docx", "A 29497-2026")</f>
        <v/>
      </c>
      <c r="W39">
        <f>HYPERLINK("https://klasma.github.io/Logging_1463/klagomålsmail/A 29497-2026 FSC-klagomål mail.docx", "A 29497-2026")</f>
        <v/>
      </c>
      <c r="X39">
        <f>HYPERLINK("https://klasma.github.io/Logging_1463/tillsyn/A 29497-2026 tillsynsbegäran.docx", "A 29497-2026")</f>
        <v/>
      </c>
      <c r="Y39">
        <f>HYPERLINK("https://klasma.github.io/Logging_1463/tillsynsmail/A 29497-2026 tillsynsbegäran mail.docx", "A 29497-2026")</f>
        <v/>
      </c>
    </row>
    <row r="40" ht="15" customHeight="1">
      <c r="A40" t="inlineStr">
        <is>
          <t>A 16997-2024</t>
        </is>
      </c>
      <c r="B40" s="1" t="n">
        <v>45412</v>
      </c>
      <c r="C40" s="1" t="n">
        <v>46205</v>
      </c>
      <c r="D40" t="inlineStr">
        <is>
          <t>VÄSTRA GÖTALANDS LÄN</t>
        </is>
      </c>
      <c r="E40" t="inlineStr">
        <is>
          <t>MARK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HYPERLINK("https://klasma.github.io/Logging_1463/artfynd/A 16997-2024 artfynd.xlsx", "A 16997-2024")</f>
        <v/>
      </c>
      <c r="T40">
        <f>HYPERLINK("https://klasma.github.io/Logging_1463/kartor/A 16997-2024 karta.png", "A 16997-2024")</f>
        <v/>
      </c>
      <c r="U40">
        <f>HYPERLINK("https://klasma.github.io/Logging_1463/knärot/A 16997-2024 karta knärot.png", "A 16997-2024")</f>
        <v/>
      </c>
      <c r="V40">
        <f>HYPERLINK("https://klasma.github.io/Logging_1463/klagomål/A 16997-2024 FSC-klagomål.docx", "A 16997-2024")</f>
        <v/>
      </c>
      <c r="W40">
        <f>HYPERLINK("https://klasma.github.io/Logging_1463/klagomålsmail/A 16997-2024 FSC-klagomål mail.docx", "A 16997-2024")</f>
        <v/>
      </c>
      <c r="X40">
        <f>HYPERLINK("https://klasma.github.io/Logging_1463/tillsyn/A 16997-2024 tillsynsbegäran.docx", "A 16997-2024")</f>
        <v/>
      </c>
      <c r="Y40">
        <f>HYPERLINK("https://klasma.github.io/Logging_1463/tillsynsmail/A 16997-2024 tillsynsbegäran mail.docx", "A 16997-2024")</f>
        <v/>
      </c>
    </row>
    <row r="41" ht="15" customHeight="1">
      <c r="A41" t="inlineStr">
        <is>
          <t>A 59662-2022</t>
        </is>
      </c>
      <c r="B41" s="1" t="n">
        <v>44908</v>
      </c>
      <c r="C41" s="1" t="n">
        <v>46205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HYPERLINK("https://klasma.github.io/Logging_1463/artfynd/A 59662-2022 artfynd.xlsx", "A 59662-2022")</f>
        <v/>
      </c>
      <c r="T41">
        <f>HYPERLINK("https://klasma.github.io/Logging_1463/kartor/A 59662-2022 karta.png", "A 59662-2022")</f>
        <v/>
      </c>
      <c r="V41">
        <f>HYPERLINK("https://klasma.github.io/Logging_1463/klagomål/A 59662-2022 FSC-klagomål.docx", "A 59662-2022")</f>
        <v/>
      </c>
      <c r="W41">
        <f>HYPERLINK("https://klasma.github.io/Logging_1463/klagomålsmail/A 59662-2022 FSC-klagomål mail.docx", "A 59662-2022")</f>
        <v/>
      </c>
      <c r="X41">
        <f>HYPERLINK("https://klasma.github.io/Logging_1463/tillsyn/A 59662-2022 tillsynsbegäran.docx", "A 59662-2022")</f>
        <v/>
      </c>
      <c r="Y41">
        <f>HYPERLINK("https://klasma.github.io/Logging_1463/tillsynsmail/A 59662-2022 tillsynsbegäran mail.docx", "A 59662-2022")</f>
        <v/>
      </c>
    </row>
    <row r="42" ht="15" customHeight="1">
      <c r="A42" t="inlineStr">
        <is>
          <t>A 23536-2025</t>
        </is>
      </c>
      <c r="B42" s="1" t="n">
        <v>45792</v>
      </c>
      <c r="C42" s="1" t="n">
        <v>46205</v>
      </c>
      <c r="D42" t="inlineStr">
        <is>
          <t>VÄSTRA GÖTALANDS LÄN</t>
        </is>
      </c>
      <c r="E42" t="inlineStr">
        <is>
          <t>MARK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HYPERLINK("https://klasma.github.io/Logging_1463/artfynd/A 23536-2025 artfynd.xlsx", "A 23536-2025")</f>
        <v/>
      </c>
      <c r="T42">
        <f>HYPERLINK("https://klasma.github.io/Logging_1463/kartor/A 23536-2025 karta.png", "A 23536-2025")</f>
        <v/>
      </c>
      <c r="V42">
        <f>HYPERLINK("https://klasma.github.io/Logging_1463/klagomål/A 23536-2025 FSC-klagomål.docx", "A 23536-2025")</f>
        <v/>
      </c>
      <c r="W42">
        <f>HYPERLINK("https://klasma.github.io/Logging_1463/klagomålsmail/A 23536-2025 FSC-klagomål mail.docx", "A 23536-2025")</f>
        <v/>
      </c>
      <c r="X42">
        <f>HYPERLINK("https://klasma.github.io/Logging_1463/tillsyn/A 23536-2025 tillsynsbegäran.docx", "A 23536-2025")</f>
        <v/>
      </c>
      <c r="Y42">
        <f>HYPERLINK("https://klasma.github.io/Logging_1463/tillsynsmail/A 23536-2025 tillsynsbegäran mail.docx", "A 23536-2025")</f>
        <v/>
      </c>
    </row>
    <row r="43" ht="15" customHeight="1">
      <c r="A43" t="inlineStr">
        <is>
          <t>A 54218-2022</t>
        </is>
      </c>
      <c r="B43" s="1" t="n">
        <v>44881</v>
      </c>
      <c r="C43" s="1" t="n">
        <v>46205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53806-2021</t>
        </is>
      </c>
      <c r="B44" s="1" t="n">
        <v>44469</v>
      </c>
      <c r="C44" s="1" t="n">
        <v>46205</v>
      </c>
      <c r="D44" t="inlineStr">
        <is>
          <t>VÄSTRA GÖTALANDS LÄN</t>
        </is>
      </c>
      <c r="E44" t="inlineStr">
        <is>
          <t>MARK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50102-2021</t>
        </is>
      </c>
      <c r="B45" s="1" t="n">
        <v>44456</v>
      </c>
      <c r="C45" s="1" t="n">
        <v>46205</v>
      </c>
      <c r="D45" t="inlineStr">
        <is>
          <t>VÄSTRA GÖTALANDS LÄN</t>
        </is>
      </c>
      <c r="E45" t="inlineStr">
        <is>
          <t>MARK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54954-2021</t>
        </is>
      </c>
      <c r="B46" s="1" t="n">
        <v>44474</v>
      </c>
      <c r="C46" s="1" t="n">
        <v>46205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45101-2022</t>
        </is>
      </c>
      <c r="B47" s="1" t="n">
        <v>44843</v>
      </c>
      <c r="C47" s="1" t="n">
        <v>46205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51797-2021</t>
        </is>
      </c>
      <c r="B48" s="1" t="n">
        <v>44462</v>
      </c>
      <c r="C48" s="1" t="n">
        <v>46205</v>
      </c>
      <c r="D48" t="inlineStr">
        <is>
          <t>VÄSTRA GÖTALANDS LÄN</t>
        </is>
      </c>
      <c r="E48" t="inlineStr">
        <is>
          <t>MARK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69513-2021</t>
        </is>
      </c>
      <c r="B49" s="1" t="n">
        <v>44531</v>
      </c>
      <c r="C49" s="1" t="n">
        <v>46205</v>
      </c>
      <c r="D49" t="inlineStr">
        <is>
          <t>VÄSTRA GÖTALANDS LÄN</t>
        </is>
      </c>
      <c r="E49" t="inlineStr">
        <is>
          <t>MARK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46205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66369-2021</t>
        </is>
      </c>
      <c r="B51" s="1" t="n">
        <v>44518</v>
      </c>
      <c r="C51" s="1" t="n">
        <v>46205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46205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46205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46205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30789-2022</t>
        </is>
      </c>
      <c r="B55" s="1" t="n">
        <v>44764</v>
      </c>
      <c r="C55" s="1" t="n">
        <v>46205</v>
      </c>
      <c r="D55" t="inlineStr">
        <is>
          <t>VÄSTRA GÖTALANDS LÄN</t>
        </is>
      </c>
      <c r="E55" t="inlineStr">
        <is>
          <t>MARK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46205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46205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46205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</v>
      </c>
      <c r="C59" s="1" t="n">
        <v>46205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46205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46205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</v>
      </c>
      <c r="C62" s="1" t="n">
        <v>46205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</v>
      </c>
      <c r="C63" s="1" t="n">
        <v>46205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46205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</v>
      </c>
      <c r="C65" s="1" t="n">
        <v>46205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</v>
      </c>
      <c r="C66" s="1" t="n">
        <v>46205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46205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46205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</v>
      </c>
      <c r="C69" s="1" t="n">
        <v>46205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</v>
      </c>
      <c r="C70" s="1" t="n">
        <v>46205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</v>
      </c>
      <c r="C71" s="1" t="n">
        <v>46205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46205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</v>
      </c>
      <c r="C73" s="1" t="n">
        <v>46205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46205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57-2022</t>
        </is>
      </c>
      <c r="B75" s="1" t="n">
        <v>44564</v>
      </c>
      <c r="C75" s="1" t="n">
        <v>46205</v>
      </c>
      <c r="D75" t="inlineStr">
        <is>
          <t>VÄSTRA GÖTALANDS LÄN</t>
        </is>
      </c>
      <c r="E75" t="inlineStr">
        <is>
          <t>MARK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46205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33-2022</t>
        </is>
      </c>
      <c r="B77" s="1" t="n">
        <v>44564</v>
      </c>
      <c r="C77" s="1" t="n">
        <v>46205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41536-2021</t>
        </is>
      </c>
      <c r="B78" s="1" t="n">
        <v>44425</v>
      </c>
      <c r="C78" s="1" t="n">
        <v>46205</v>
      </c>
      <c r="D78" t="inlineStr">
        <is>
          <t>VÄSTRA GÖTALANDS LÄN</t>
        </is>
      </c>
      <c r="E78" t="inlineStr">
        <is>
          <t>MARK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19835-2022</t>
        </is>
      </c>
      <c r="B79" s="1" t="n">
        <v>44696</v>
      </c>
      <c r="C79" s="1" t="n">
        <v>46205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9014-2022</t>
        </is>
      </c>
      <c r="B80" s="1" t="n">
        <v>44615</v>
      </c>
      <c r="C80" s="1" t="n">
        <v>46205</v>
      </c>
      <c r="D80" t="inlineStr">
        <is>
          <t>VÄSTRA GÖTALANDS LÄN</t>
        </is>
      </c>
      <c r="E80" t="inlineStr">
        <is>
          <t>MARK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25886-2022</t>
        </is>
      </c>
      <c r="B81" s="1" t="n">
        <v>44733</v>
      </c>
      <c r="C81" s="1" t="n">
        <v>46205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24216-2022</t>
        </is>
      </c>
      <c r="B82" s="1" t="n">
        <v>44725</v>
      </c>
      <c r="C82" s="1" t="n">
        <v>46205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38843-2021</t>
        </is>
      </c>
      <c r="B83" s="1" t="n">
        <v>44411</v>
      </c>
      <c r="C83" s="1" t="n">
        <v>46205</v>
      </c>
      <c r="D83" t="inlineStr">
        <is>
          <t>VÄSTRA GÖTALANDS LÄN</t>
        </is>
      </c>
      <c r="E83" t="inlineStr">
        <is>
          <t>MARK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8091-2022</t>
        </is>
      </c>
      <c r="B84" s="1" t="n">
        <v>44609</v>
      </c>
      <c r="C84" s="1" t="n">
        <v>46205</v>
      </c>
      <c r="D84" t="inlineStr">
        <is>
          <t>VÄSTRA GÖTALANDS LÄN</t>
        </is>
      </c>
      <c r="E84" t="inlineStr">
        <is>
          <t>MARK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8093-2022</t>
        </is>
      </c>
      <c r="B85" s="1" t="n">
        <v>44609</v>
      </c>
      <c r="C85" s="1" t="n">
        <v>46205</v>
      </c>
      <c r="D85" t="inlineStr">
        <is>
          <t>VÄSTRA GÖTALANDS LÄN</t>
        </is>
      </c>
      <c r="E85" t="inlineStr">
        <is>
          <t>MARK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2616-2022</t>
        </is>
      </c>
      <c r="B86" s="1" t="n">
        <v>44580</v>
      </c>
      <c r="C86" s="1" t="n">
        <v>46205</v>
      </c>
      <c r="D86" t="inlineStr">
        <is>
          <t>VÄSTRA GÖTALANDS LÄN</t>
        </is>
      </c>
      <c r="E86" t="inlineStr">
        <is>
          <t>MARK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60804-2021</t>
        </is>
      </c>
      <c r="B87" s="1" t="n">
        <v>44497</v>
      </c>
      <c r="C87" s="1" t="n">
        <v>46205</v>
      </c>
      <c r="D87" t="inlineStr">
        <is>
          <t>VÄSTRA GÖTALANDS LÄN</t>
        </is>
      </c>
      <c r="E87" t="inlineStr">
        <is>
          <t>MARK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</v>
      </c>
      <c r="C88" s="1" t="n">
        <v>46205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38497-2021</t>
        </is>
      </c>
      <c r="B89" s="1" t="n">
        <v>44407</v>
      </c>
      <c r="C89" s="1" t="n">
        <v>46205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70090-2021</t>
        </is>
      </c>
      <c r="B90" s="1" t="n">
        <v>44533</v>
      </c>
      <c r="C90" s="1" t="n">
        <v>46205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17611-2022</t>
        </is>
      </c>
      <c r="B91" s="1" t="n">
        <v>44680</v>
      </c>
      <c r="C91" s="1" t="n">
        <v>46205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32868-2022</t>
        </is>
      </c>
      <c r="B92" s="1" t="n">
        <v>44784</v>
      </c>
      <c r="C92" s="1" t="n">
        <v>46205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20412-2022</t>
        </is>
      </c>
      <c r="B93" s="1" t="n">
        <v>44699</v>
      </c>
      <c r="C93" s="1" t="n">
        <v>46205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54719-2021</t>
        </is>
      </c>
      <c r="B94" s="1" t="n">
        <v>44473</v>
      </c>
      <c r="C94" s="1" t="n">
        <v>46205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59618-2021</t>
        </is>
      </c>
      <c r="B95" s="1" t="n">
        <v>44491</v>
      </c>
      <c r="C95" s="1" t="n">
        <v>46205</v>
      </c>
      <c r="D95" t="inlineStr">
        <is>
          <t>VÄSTRA GÖTALANDS LÄN</t>
        </is>
      </c>
      <c r="E95" t="inlineStr">
        <is>
          <t>MARK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36976-2021</t>
        </is>
      </c>
      <c r="B96" s="1" t="n">
        <v>44393</v>
      </c>
      <c r="C96" s="1" t="n">
        <v>46205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46205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32230-2022</t>
        </is>
      </c>
      <c r="B98" s="1" t="n">
        <v>44781</v>
      </c>
      <c r="C98" s="1" t="n">
        <v>46205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53609-2021</t>
        </is>
      </c>
      <c r="B99" s="1" t="n">
        <v>44469</v>
      </c>
      <c r="C99" s="1" t="n">
        <v>46205</v>
      </c>
      <c r="D99" t="inlineStr">
        <is>
          <t>VÄSTRA GÖTALANDS LÄN</t>
        </is>
      </c>
      <c r="E99" t="inlineStr">
        <is>
          <t>MARK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47826-2021</t>
        </is>
      </c>
      <c r="B100" s="1" t="n">
        <v>44448</v>
      </c>
      <c r="C100" s="1" t="n">
        <v>46205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1017-2022</t>
        </is>
      </c>
      <c r="B101" s="1" t="n">
        <v>44571</v>
      </c>
      <c r="C101" s="1" t="n">
        <v>46205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46205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</v>
      </c>
      <c r="C103" s="1" t="n">
        <v>46205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71117-2021</t>
        </is>
      </c>
      <c r="B104" s="1" t="n">
        <v>44539</v>
      </c>
      <c r="C104" s="1" t="n">
        <v>46205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10166-2022</t>
        </is>
      </c>
      <c r="B105" s="1" t="n">
        <v>44622</v>
      </c>
      <c r="C105" s="1" t="n">
        <v>46205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24146-2022</t>
        </is>
      </c>
      <c r="B106" s="1" t="n">
        <v>44725</v>
      </c>
      <c r="C106" s="1" t="n">
        <v>46205</v>
      </c>
      <c r="D106" t="inlineStr">
        <is>
          <t>VÄSTRA GÖTALANDS LÄN</t>
        </is>
      </c>
      <c r="E106" t="inlineStr">
        <is>
          <t>MARK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54001-2021</t>
        </is>
      </c>
      <c r="B107" s="1" t="n">
        <v>44470</v>
      </c>
      <c r="C107" s="1" t="n">
        <v>46205</v>
      </c>
      <c r="D107" t="inlineStr">
        <is>
          <t>VÄSTRA GÖTALANDS LÄN</t>
        </is>
      </c>
      <c r="E107" t="inlineStr">
        <is>
          <t>MARK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51794-2021</t>
        </is>
      </c>
      <c r="B108" s="1" t="n">
        <v>44462</v>
      </c>
      <c r="C108" s="1" t="n">
        <v>46205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35418-2021</t>
        </is>
      </c>
      <c r="B109" s="1" t="n">
        <v>44385</v>
      </c>
      <c r="C109" s="1" t="n">
        <v>46205</v>
      </c>
      <c r="D109" t="inlineStr">
        <is>
          <t>VÄSTRA GÖTALANDS LÄN</t>
        </is>
      </c>
      <c r="E109" t="inlineStr">
        <is>
          <t>MARK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51828-2021</t>
        </is>
      </c>
      <c r="B110" s="1" t="n">
        <v>44462</v>
      </c>
      <c r="C110" s="1" t="n">
        <v>46205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19223-2022</t>
        </is>
      </c>
      <c r="B111" s="1" t="n">
        <v>44692</v>
      </c>
      <c r="C111" s="1" t="n">
        <v>46205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38002-2023</t>
        </is>
      </c>
      <c r="B112" s="1" t="n">
        <v>45160</v>
      </c>
      <c r="C112" s="1" t="n">
        <v>46205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31044-2022</t>
        </is>
      </c>
      <c r="B113" s="1" t="n">
        <v>44768</v>
      </c>
      <c r="C113" s="1" t="n">
        <v>46205</v>
      </c>
      <c r="D113" t="inlineStr">
        <is>
          <t>VÄSTRA GÖTALANDS LÄN</t>
        </is>
      </c>
      <c r="E113" t="inlineStr">
        <is>
          <t>MARK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17499-2024</t>
        </is>
      </c>
      <c r="B114" s="1" t="n">
        <v>45415</v>
      </c>
      <c r="C114" s="1" t="n">
        <v>46205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43178-2022</t>
        </is>
      </c>
      <c r="B115" s="1" t="n">
        <v>44834</v>
      </c>
      <c r="C115" s="1" t="n">
        <v>46205</v>
      </c>
      <c r="D115" t="inlineStr">
        <is>
          <t>VÄSTRA GÖTALANDS LÄN</t>
        </is>
      </c>
      <c r="E115" t="inlineStr">
        <is>
          <t>MARK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49785-2023</t>
        </is>
      </c>
      <c r="B116" s="1" t="n">
        <v>45212</v>
      </c>
      <c r="C116" s="1" t="n">
        <v>46205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5786-2024</t>
        </is>
      </c>
      <c r="B117" s="1" t="n">
        <v>45335</v>
      </c>
      <c r="C117" s="1" t="n">
        <v>46205</v>
      </c>
      <c r="D117" t="inlineStr">
        <is>
          <t>VÄSTRA GÖTALANDS LÄN</t>
        </is>
      </c>
      <c r="E117" t="inlineStr">
        <is>
          <t>MARK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54947-2021</t>
        </is>
      </c>
      <c r="B118" s="1" t="n">
        <v>44474</v>
      </c>
      <c r="C118" s="1" t="n">
        <v>46205</v>
      </c>
      <c r="D118" t="inlineStr">
        <is>
          <t>VÄSTRA GÖTALANDS LÄN</t>
        </is>
      </c>
      <c r="E118" t="inlineStr">
        <is>
          <t>MARK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6850-2024</t>
        </is>
      </c>
      <c r="B119" s="1" t="n">
        <v>45342</v>
      </c>
      <c r="C119" s="1" t="n">
        <v>46205</v>
      </c>
      <c r="D119" t="inlineStr">
        <is>
          <t>VÄSTRA GÖTALANDS LÄN</t>
        </is>
      </c>
      <c r="E119" t="inlineStr">
        <is>
          <t>MARK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59614-2023</t>
        </is>
      </c>
      <c r="B120" s="1" t="n">
        <v>45254</v>
      </c>
      <c r="C120" s="1" t="n">
        <v>46205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34075-2023</t>
        </is>
      </c>
      <c r="B121" s="1" t="n">
        <v>45135</v>
      </c>
      <c r="C121" s="1" t="n">
        <v>46205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34161-2023</t>
        </is>
      </c>
      <c r="B122" s="1" t="n">
        <v>45137</v>
      </c>
      <c r="C122" s="1" t="n">
        <v>46205</v>
      </c>
      <c r="D122" t="inlineStr">
        <is>
          <t>VÄSTRA GÖTALANDS LÄN</t>
        </is>
      </c>
      <c r="E122" t="inlineStr">
        <is>
          <t>MARK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31880-2023</t>
        </is>
      </c>
      <c r="B123" s="1" t="n">
        <v>45106</v>
      </c>
      <c r="C123" s="1" t="n">
        <v>46205</v>
      </c>
      <c r="D123" t="inlineStr">
        <is>
          <t>VÄSTRA GÖTALANDS LÄN</t>
        </is>
      </c>
      <c r="E123" t="inlineStr">
        <is>
          <t>MARK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17926-2024</t>
        </is>
      </c>
      <c r="B124" s="1" t="n">
        <v>45419</v>
      </c>
      <c r="C124" s="1" t="n">
        <v>46205</v>
      </c>
      <c r="D124" t="inlineStr">
        <is>
          <t>VÄSTRA GÖTALANDS LÄN</t>
        </is>
      </c>
      <c r="E124" t="inlineStr">
        <is>
          <t>MARK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17394-2024</t>
        </is>
      </c>
      <c r="B125" s="1" t="n">
        <v>45414</v>
      </c>
      <c r="C125" s="1" t="n">
        <v>46205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15292-2025</t>
        </is>
      </c>
      <c r="B126" s="1" t="n">
        <v>45745</v>
      </c>
      <c r="C126" s="1" t="n">
        <v>46205</v>
      </c>
      <c r="D126" t="inlineStr">
        <is>
          <t>VÄSTRA GÖTALANDS LÄN</t>
        </is>
      </c>
      <c r="E126" t="inlineStr">
        <is>
          <t>MARK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14746-2024</t>
        </is>
      </c>
      <c r="B127" s="1" t="n">
        <v>45397</v>
      </c>
      <c r="C127" s="1" t="n">
        <v>46205</v>
      </c>
      <c r="D127" t="inlineStr">
        <is>
          <t>VÄSTRA GÖTALANDS LÄN</t>
        </is>
      </c>
      <c r="E127" t="inlineStr">
        <is>
          <t>MARK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27203-2024</t>
        </is>
      </c>
      <c r="B128" s="1" t="n">
        <v>45471</v>
      </c>
      <c r="C128" s="1" t="n">
        <v>46205</v>
      </c>
      <c r="D128" t="inlineStr">
        <is>
          <t>VÄSTRA GÖTALANDS LÄN</t>
        </is>
      </c>
      <c r="E128" t="inlineStr">
        <is>
          <t>MARK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26943-2023</t>
        </is>
      </c>
      <c r="B129" s="1" t="n">
        <v>45093</v>
      </c>
      <c r="C129" s="1" t="n">
        <v>46205</v>
      </c>
      <c r="D129" t="inlineStr">
        <is>
          <t>VÄSTRA GÖTALANDS LÄN</t>
        </is>
      </c>
      <c r="E129" t="inlineStr">
        <is>
          <t>MARK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11912-2024</t>
        </is>
      </c>
      <c r="B130" s="1" t="n">
        <v>45376</v>
      </c>
      <c r="C130" s="1" t="n">
        <v>46205</v>
      </c>
      <c r="D130" t="inlineStr">
        <is>
          <t>VÄSTRA GÖTALANDS LÄN</t>
        </is>
      </c>
      <c r="E130" t="inlineStr">
        <is>
          <t>MARK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23078-2024</t>
        </is>
      </c>
      <c r="B131" s="1" t="n">
        <v>45450</v>
      </c>
      <c r="C131" s="1" t="n">
        <v>46205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55842-2023</t>
        </is>
      </c>
      <c r="B132" s="1" t="n">
        <v>45233</v>
      </c>
      <c r="C132" s="1" t="n">
        <v>46205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13181-2024</t>
        </is>
      </c>
      <c r="B133" s="1" t="n">
        <v>45386</v>
      </c>
      <c r="C133" s="1" t="n">
        <v>46205</v>
      </c>
      <c r="D133" t="inlineStr">
        <is>
          <t>VÄSTRA GÖTALANDS LÄN</t>
        </is>
      </c>
      <c r="E133" t="inlineStr">
        <is>
          <t>MARK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58529-2022</t>
        </is>
      </c>
      <c r="B134" s="1" t="n">
        <v>44902</v>
      </c>
      <c r="C134" s="1" t="n">
        <v>46205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54277-2022</t>
        </is>
      </c>
      <c r="B135" s="1" t="n">
        <v>44882</v>
      </c>
      <c r="C135" s="1" t="n">
        <v>46205</v>
      </c>
      <c r="D135" t="inlineStr">
        <is>
          <t>VÄSTRA GÖTALANDS LÄN</t>
        </is>
      </c>
      <c r="E135" t="inlineStr">
        <is>
          <t>MARK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16123-2024</t>
        </is>
      </c>
      <c r="B136" s="1" t="n">
        <v>45406</v>
      </c>
      <c r="C136" s="1" t="n">
        <v>46205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33807-2022</t>
        </is>
      </c>
      <c r="B137" s="1" t="n">
        <v>44790</v>
      </c>
      <c r="C137" s="1" t="n">
        <v>46205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49108-2023</t>
        </is>
      </c>
      <c r="B138" s="1" t="n">
        <v>45210</v>
      </c>
      <c r="C138" s="1" t="n">
        <v>46205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47418-2023</t>
        </is>
      </c>
      <c r="B139" s="1" t="n">
        <v>45202</v>
      </c>
      <c r="C139" s="1" t="n">
        <v>46205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3930-2024</t>
        </is>
      </c>
      <c r="B140" s="1" t="n">
        <v>45322</v>
      </c>
      <c r="C140" s="1" t="n">
        <v>46205</v>
      </c>
      <c r="D140" t="inlineStr">
        <is>
          <t>VÄSTRA GÖTALANDS LÄN</t>
        </is>
      </c>
      <c r="E140" t="inlineStr">
        <is>
          <t>MARK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30231-2024</t>
        </is>
      </c>
      <c r="B141" s="1" t="n">
        <v>45490</v>
      </c>
      <c r="C141" s="1" t="n">
        <v>46205</v>
      </c>
      <c r="D141" t="inlineStr">
        <is>
          <t>VÄSTRA GÖTALANDS LÄN</t>
        </is>
      </c>
      <c r="E141" t="inlineStr">
        <is>
          <t>MARK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30232-2024</t>
        </is>
      </c>
      <c r="B142" s="1" t="n">
        <v>45490</v>
      </c>
      <c r="C142" s="1" t="n">
        <v>46205</v>
      </c>
      <c r="D142" t="inlineStr">
        <is>
          <t>VÄSTRA GÖTALANDS LÄN</t>
        </is>
      </c>
      <c r="E142" t="inlineStr">
        <is>
          <t>MARK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30250-2024</t>
        </is>
      </c>
      <c r="B143" s="1" t="n">
        <v>45490</v>
      </c>
      <c r="C143" s="1" t="n">
        <v>46205</v>
      </c>
      <c r="D143" t="inlineStr">
        <is>
          <t>VÄSTRA GÖTALANDS LÄN</t>
        </is>
      </c>
      <c r="E143" t="inlineStr">
        <is>
          <t>MARK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36093-2024</t>
        </is>
      </c>
      <c r="B144" s="1" t="n">
        <v>45533</v>
      </c>
      <c r="C144" s="1" t="n">
        <v>46205</v>
      </c>
      <c r="D144" t="inlineStr">
        <is>
          <t>VÄSTRA GÖTALANDS LÄN</t>
        </is>
      </c>
      <c r="E144" t="inlineStr">
        <is>
          <t>MARK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6845-2024</t>
        </is>
      </c>
      <c r="B145" s="1" t="n">
        <v>45342</v>
      </c>
      <c r="C145" s="1" t="n">
        <v>46205</v>
      </c>
      <c r="D145" t="inlineStr">
        <is>
          <t>VÄSTRA GÖTALANDS LÄN</t>
        </is>
      </c>
      <c r="E145" t="inlineStr">
        <is>
          <t>MARK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34071-2023</t>
        </is>
      </c>
      <c r="B146" s="1" t="n">
        <v>45135</v>
      </c>
      <c r="C146" s="1" t="n">
        <v>46205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32184-2023</t>
        </is>
      </c>
      <c r="B147" s="1" t="n">
        <v>45119</v>
      </c>
      <c r="C147" s="1" t="n">
        <v>46205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35726-2023</t>
        </is>
      </c>
      <c r="B148" s="1" t="n">
        <v>45147</v>
      </c>
      <c r="C148" s="1" t="n">
        <v>46205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24771-2025</t>
        </is>
      </c>
      <c r="B149" s="1" t="n">
        <v>45799</v>
      </c>
      <c r="C149" s="1" t="n">
        <v>46205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24781-2025</t>
        </is>
      </c>
      <c r="B150" s="1" t="n">
        <v>45799</v>
      </c>
      <c r="C150" s="1" t="n">
        <v>46205</v>
      </c>
      <c r="D150" t="inlineStr">
        <is>
          <t>VÄSTRA GÖTALANDS LÄN</t>
        </is>
      </c>
      <c r="E150" t="inlineStr">
        <is>
          <t>MARK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4027-2023</t>
        </is>
      </c>
      <c r="B151" s="1" t="n">
        <v>44952</v>
      </c>
      <c r="C151" s="1" t="n">
        <v>46205</v>
      </c>
      <c r="D151" t="inlineStr">
        <is>
          <t>VÄSTRA GÖTALANDS LÄN</t>
        </is>
      </c>
      <c r="E151" t="inlineStr">
        <is>
          <t>MARK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7498-2023</t>
        </is>
      </c>
      <c r="B152" s="1" t="n">
        <v>44971</v>
      </c>
      <c r="C152" s="1" t="n">
        <v>46205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33898-2023</t>
        </is>
      </c>
      <c r="B153" s="1" t="n">
        <v>45134</v>
      </c>
      <c r="C153" s="1" t="n">
        <v>46205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63590-2023</t>
        </is>
      </c>
      <c r="B154" s="1" t="n">
        <v>45275</v>
      </c>
      <c r="C154" s="1" t="n">
        <v>46205</v>
      </c>
      <c r="D154" t="inlineStr">
        <is>
          <t>VÄSTRA GÖTALANDS LÄN</t>
        </is>
      </c>
      <c r="E154" t="inlineStr">
        <is>
          <t>MARK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63591-2023</t>
        </is>
      </c>
      <c r="B155" s="1" t="n">
        <v>45275</v>
      </c>
      <c r="C155" s="1" t="n">
        <v>46205</v>
      </c>
      <c r="D155" t="inlineStr">
        <is>
          <t>VÄSTRA GÖTALANDS LÄN</t>
        </is>
      </c>
      <c r="E155" t="inlineStr">
        <is>
          <t>MARK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38553-2025</t>
        </is>
      </c>
      <c r="B156" s="1" t="n">
        <v>45884</v>
      </c>
      <c r="C156" s="1" t="n">
        <v>46205</v>
      </c>
      <c r="D156" t="inlineStr">
        <is>
          <t>VÄSTRA GÖTALANDS LÄN</t>
        </is>
      </c>
      <c r="E156" t="inlineStr">
        <is>
          <t>MARK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871-2026</t>
        </is>
      </c>
      <c r="B157" s="1" t="n">
        <v>46030</v>
      </c>
      <c r="C157" s="1" t="n">
        <v>46205</v>
      </c>
      <c r="D157" t="inlineStr">
        <is>
          <t>VÄSTRA GÖTALANDS LÄN</t>
        </is>
      </c>
      <c r="E157" t="inlineStr">
        <is>
          <t>MARK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8855-2023</t>
        </is>
      </c>
      <c r="B158" s="1" t="n">
        <v>44978</v>
      </c>
      <c r="C158" s="1" t="n">
        <v>46205</v>
      </c>
      <c r="D158" t="inlineStr">
        <is>
          <t>VÄSTRA GÖTALANDS LÄN</t>
        </is>
      </c>
      <c r="E158" t="inlineStr">
        <is>
          <t>MARK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26255-2025</t>
        </is>
      </c>
      <c r="B159" s="1" t="n">
        <v>45805</v>
      </c>
      <c r="C159" s="1" t="n">
        <v>46205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1322-2023</t>
        </is>
      </c>
      <c r="B160" s="1" t="n">
        <v>44936</v>
      </c>
      <c r="C160" s="1" t="n">
        <v>46205</v>
      </c>
      <c r="D160" t="inlineStr">
        <is>
          <t>VÄSTRA GÖTALANDS LÄN</t>
        </is>
      </c>
      <c r="E160" t="inlineStr">
        <is>
          <t>MARK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1637-2026</t>
        </is>
      </c>
      <c r="B161" s="1" t="n">
        <v>46034</v>
      </c>
      <c r="C161" s="1" t="n">
        <v>46205</v>
      </c>
      <c r="D161" t="inlineStr">
        <is>
          <t>VÄSTRA GÖTALANDS LÄN</t>
        </is>
      </c>
      <c r="E161" t="inlineStr">
        <is>
          <t>MARK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1642-2026</t>
        </is>
      </c>
      <c r="B162" s="1" t="n">
        <v>46034</v>
      </c>
      <c r="C162" s="1" t="n">
        <v>46205</v>
      </c>
      <c r="D162" t="inlineStr">
        <is>
          <t>VÄSTRA GÖTALANDS LÄN</t>
        </is>
      </c>
      <c r="E162" t="inlineStr">
        <is>
          <t>MARK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53032-2024</t>
        </is>
      </c>
      <c r="B163" s="1" t="n">
        <v>45611</v>
      </c>
      <c r="C163" s="1" t="n">
        <v>46205</v>
      </c>
      <c r="D163" t="inlineStr">
        <is>
          <t>VÄSTRA GÖTALANDS LÄN</t>
        </is>
      </c>
      <c r="E163" t="inlineStr">
        <is>
          <t>MARK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26515-2025</t>
        </is>
      </c>
      <c r="B164" s="1" t="n">
        <v>45807</v>
      </c>
      <c r="C164" s="1" t="n">
        <v>46205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20896-2023</t>
        </is>
      </c>
      <c r="B165" s="1" t="n">
        <v>45059</v>
      </c>
      <c r="C165" s="1" t="n">
        <v>46205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39160-2025</t>
        </is>
      </c>
      <c r="B166" s="1" t="n">
        <v>45888</v>
      </c>
      <c r="C166" s="1" t="n">
        <v>46205</v>
      </c>
      <c r="D166" t="inlineStr">
        <is>
          <t>VÄSTRA GÖTALANDS LÄN</t>
        </is>
      </c>
      <c r="E166" t="inlineStr">
        <is>
          <t>MARK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39122-2025</t>
        </is>
      </c>
      <c r="B167" s="1" t="n">
        <v>45888</v>
      </c>
      <c r="C167" s="1" t="n">
        <v>46205</v>
      </c>
      <c r="D167" t="inlineStr">
        <is>
          <t>VÄSTRA GÖTALANDS LÄN</t>
        </is>
      </c>
      <c r="E167" t="inlineStr">
        <is>
          <t>MARK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18337-2022</t>
        </is>
      </c>
      <c r="B168" s="1" t="n">
        <v>44685</v>
      </c>
      <c r="C168" s="1" t="n">
        <v>46205</v>
      </c>
      <c r="D168" t="inlineStr">
        <is>
          <t>VÄSTRA GÖTALANDS LÄN</t>
        </is>
      </c>
      <c r="E168" t="inlineStr">
        <is>
          <t>MARK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34073-2024</t>
        </is>
      </c>
      <c r="B169" s="1" t="n">
        <v>45523</v>
      </c>
      <c r="C169" s="1" t="n">
        <v>46205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16001-2025</t>
        </is>
      </c>
      <c r="B170" s="1" t="n">
        <v>45749</v>
      </c>
      <c r="C170" s="1" t="n">
        <v>46205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949-2026</t>
        </is>
      </c>
      <c r="B171" s="1" t="n">
        <v>46030</v>
      </c>
      <c r="C171" s="1" t="n">
        <v>46205</v>
      </c>
      <c r="D171" t="inlineStr">
        <is>
          <t>VÄSTRA GÖTALANDS LÄN</t>
        </is>
      </c>
      <c r="E171" t="inlineStr">
        <is>
          <t>MARK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35390-2025</t>
        </is>
      </c>
      <c r="B172" s="1" t="n">
        <v>45855</v>
      </c>
      <c r="C172" s="1" t="n">
        <v>46205</v>
      </c>
      <c r="D172" t="inlineStr">
        <is>
          <t>VÄSTRA GÖTALANDS LÄN</t>
        </is>
      </c>
      <c r="E172" t="inlineStr">
        <is>
          <t>MARK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35391-2025</t>
        </is>
      </c>
      <c r="B173" s="1" t="n">
        <v>45855</v>
      </c>
      <c r="C173" s="1" t="n">
        <v>46205</v>
      </c>
      <c r="D173" t="inlineStr">
        <is>
          <t>VÄSTRA GÖTALANDS LÄN</t>
        </is>
      </c>
      <c r="E173" t="inlineStr">
        <is>
          <t>MARK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35393-2025</t>
        </is>
      </c>
      <c r="B174" s="1" t="n">
        <v>45855</v>
      </c>
      <c r="C174" s="1" t="n">
        <v>46205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14692-2024</t>
        </is>
      </c>
      <c r="B175" s="1" t="n">
        <v>45397</v>
      </c>
      <c r="C175" s="1" t="n">
        <v>46205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28178-2025</t>
        </is>
      </c>
      <c r="B176" s="1" t="n">
        <v>45818</v>
      </c>
      <c r="C176" s="1" t="n">
        <v>46205</v>
      </c>
      <c r="D176" t="inlineStr">
        <is>
          <t>VÄSTRA GÖTALANDS LÄN</t>
        </is>
      </c>
      <c r="E176" t="inlineStr">
        <is>
          <t>MARK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16354-2025</t>
        </is>
      </c>
      <c r="B177" s="1" t="n">
        <v>45751</v>
      </c>
      <c r="C177" s="1" t="n">
        <v>46205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24590-2025</t>
        </is>
      </c>
      <c r="B178" s="1" t="n">
        <v>45798</v>
      </c>
      <c r="C178" s="1" t="n">
        <v>46205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44573-2024</t>
        </is>
      </c>
      <c r="B179" s="1" t="n">
        <v>45574</v>
      </c>
      <c r="C179" s="1" t="n">
        <v>46205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57399-2022</t>
        </is>
      </c>
      <c r="B180" s="1" t="n">
        <v>44896</v>
      </c>
      <c r="C180" s="1" t="n">
        <v>46205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69264-2021</t>
        </is>
      </c>
      <c r="B181" s="1" t="n">
        <v>44531</v>
      </c>
      <c r="C181" s="1" t="n">
        <v>46205</v>
      </c>
      <c r="D181" t="inlineStr">
        <is>
          <t>VÄSTRA GÖTALANDS LÄN</t>
        </is>
      </c>
      <c r="E181" t="inlineStr">
        <is>
          <t>MARK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39274-2025</t>
        </is>
      </c>
      <c r="B182" s="1" t="n">
        <v>45889</v>
      </c>
      <c r="C182" s="1" t="n">
        <v>46205</v>
      </c>
      <c r="D182" t="inlineStr">
        <is>
          <t>VÄSTRA GÖTALANDS LÄN</t>
        </is>
      </c>
      <c r="E182" t="inlineStr">
        <is>
          <t>MARK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1629-2026</t>
        </is>
      </c>
      <c r="B183" s="1" t="n">
        <v>46034</v>
      </c>
      <c r="C183" s="1" t="n">
        <v>46205</v>
      </c>
      <c r="D183" t="inlineStr">
        <is>
          <t>VÄSTRA GÖTALANDS LÄN</t>
        </is>
      </c>
      <c r="E183" t="inlineStr">
        <is>
          <t>MARK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28432-2025</t>
        </is>
      </c>
      <c r="B184" s="1" t="n">
        <v>45819</v>
      </c>
      <c r="C184" s="1" t="n">
        <v>46205</v>
      </c>
      <c r="D184" t="inlineStr">
        <is>
          <t>VÄSTRA GÖTALANDS LÄN</t>
        </is>
      </c>
      <c r="E184" t="inlineStr">
        <is>
          <t>MARK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33189-2024</t>
        </is>
      </c>
      <c r="B185" s="1" t="n">
        <v>45518</v>
      </c>
      <c r="C185" s="1" t="n">
        <v>46205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39858-2025</t>
        </is>
      </c>
      <c r="B186" s="1" t="n">
        <v>45891</v>
      </c>
      <c r="C186" s="1" t="n">
        <v>46205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20415-2025</t>
        </is>
      </c>
      <c r="B187" s="1" t="n">
        <v>45775</v>
      </c>
      <c r="C187" s="1" t="n">
        <v>46205</v>
      </c>
      <c r="D187" t="inlineStr">
        <is>
          <t>VÄSTRA GÖTALANDS LÄN</t>
        </is>
      </c>
      <c r="E187" t="inlineStr">
        <is>
          <t>MARK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40631-2025</t>
        </is>
      </c>
      <c r="B188" s="1" t="n">
        <v>45896</v>
      </c>
      <c r="C188" s="1" t="n">
        <v>46205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40258-2025</t>
        </is>
      </c>
      <c r="B189" s="1" t="n">
        <v>45895</v>
      </c>
      <c r="C189" s="1" t="n">
        <v>46205</v>
      </c>
      <c r="D189" t="inlineStr">
        <is>
          <t>VÄSTRA GÖTALANDS LÄN</t>
        </is>
      </c>
      <c r="E189" t="inlineStr">
        <is>
          <t>MARK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40645-2025</t>
        </is>
      </c>
      <c r="B190" s="1" t="n">
        <v>45896</v>
      </c>
      <c r="C190" s="1" t="n">
        <v>46205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40609-2025</t>
        </is>
      </c>
      <c r="B191" s="1" t="n">
        <v>45896</v>
      </c>
      <c r="C191" s="1" t="n">
        <v>46205</v>
      </c>
      <c r="D191" t="inlineStr">
        <is>
          <t>VÄSTRA GÖTALANDS LÄN</t>
        </is>
      </c>
      <c r="E191" t="inlineStr">
        <is>
          <t>MARK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40965-2025</t>
        </is>
      </c>
      <c r="B192" s="1" t="n">
        <v>45897</v>
      </c>
      <c r="C192" s="1" t="n">
        <v>46205</v>
      </c>
      <c r="D192" t="inlineStr">
        <is>
          <t>VÄSTRA GÖTALANDS LÄN</t>
        </is>
      </c>
      <c r="E192" t="inlineStr">
        <is>
          <t>MARK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41162-2025</t>
        </is>
      </c>
      <c r="B193" s="1" t="n">
        <v>45898</v>
      </c>
      <c r="C193" s="1" t="n">
        <v>46205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51458-2024</t>
        </is>
      </c>
      <c r="B194" s="1" t="n">
        <v>45604</v>
      </c>
      <c r="C194" s="1" t="n">
        <v>46205</v>
      </c>
      <c r="D194" t="inlineStr">
        <is>
          <t>VÄSTRA GÖTALANDS LÄN</t>
        </is>
      </c>
      <c r="E194" t="inlineStr">
        <is>
          <t>MARK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15788-2023</t>
        </is>
      </c>
      <c r="B195" s="1" t="n">
        <v>45021</v>
      </c>
      <c r="C195" s="1" t="n">
        <v>46205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41132-2025</t>
        </is>
      </c>
      <c r="B196" s="1" t="n">
        <v>45898</v>
      </c>
      <c r="C196" s="1" t="n">
        <v>46205</v>
      </c>
      <c r="D196" t="inlineStr">
        <is>
          <t>VÄSTRA GÖTALANDS LÄN</t>
        </is>
      </c>
      <c r="E196" t="inlineStr">
        <is>
          <t>MARK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41136-2025</t>
        </is>
      </c>
      <c r="B197" s="1" t="n">
        <v>45898</v>
      </c>
      <c r="C197" s="1" t="n">
        <v>46205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30122-2025</t>
        </is>
      </c>
      <c r="B198" s="1" t="n">
        <v>45826</v>
      </c>
      <c r="C198" s="1" t="n">
        <v>46205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7050-2022</t>
        </is>
      </c>
      <c r="B199" s="1" t="n">
        <v>44603</v>
      </c>
      <c r="C199" s="1" t="n">
        <v>46205</v>
      </c>
      <c r="D199" t="inlineStr">
        <is>
          <t>VÄSTRA GÖTALANDS LÄN</t>
        </is>
      </c>
      <c r="E199" t="inlineStr">
        <is>
          <t>MARK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41613-2025</t>
        </is>
      </c>
      <c r="B200" s="1" t="n">
        <v>45901</v>
      </c>
      <c r="C200" s="1" t="n">
        <v>46205</v>
      </c>
      <c r="D200" t="inlineStr">
        <is>
          <t>VÄSTRA GÖTALANDS LÄN</t>
        </is>
      </c>
      <c r="E200" t="inlineStr">
        <is>
          <t>MARK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62573-2022</t>
        </is>
      </c>
      <c r="B201" s="1" t="n">
        <v>44924</v>
      </c>
      <c r="C201" s="1" t="n">
        <v>46205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14128-2025</t>
        </is>
      </c>
      <c r="B202" s="1" t="n">
        <v>45740</v>
      </c>
      <c r="C202" s="1" t="n">
        <v>46205</v>
      </c>
      <c r="D202" t="inlineStr">
        <is>
          <t>VÄSTRA GÖTALANDS LÄN</t>
        </is>
      </c>
      <c r="E202" t="inlineStr">
        <is>
          <t>MARK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10657-2025</t>
        </is>
      </c>
      <c r="B203" s="1" t="n">
        <v>45721</v>
      </c>
      <c r="C203" s="1" t="n">
        <v>46205</v>
      </c>
      <c r="D203" t="inlineStr">
        <is>
          <t>VÄSTRA GÖTALANDS LÄN</t>
        </is>
      </c>
      <c r="E203" t="inlineStr">
        <is>
          <t>MARK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13923-2025</t>
        </is>
      </c>
      <c r="B204" s="1" t="n">
        <v>45737</v>
      </c>
      <c r="C204" s="1" t="n">
        <v>46205</v>
      </c>
      <c r="D204" t="inlineStr">
        <is>
          <t>VÄSTRA GÖTALANDS LÄN</t>
        </is>
      </c>
      <c r="E204" t="inlineStr">
        <is>
          <t>MARK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14546-2025</t>
        </is>
      </c>
      <c r="B205" s="1" t="n">
        <v>45741</v>
      </c>
      <c r="C205" s="1" t="n">
        <v>46205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14902-2025</t>
        </is>
      </c>
      <c r="B206" s="1" t="n">
        <v>45743</v>
      </c>
      <c r="C206" s="1" t="n">
        <v>46205</v>
      </c>
      <c r="D206" t="inlineStr">
        <is>
          <t>VÄSTRA GÖTALANDS LÄN</t>
        </is>
      </c>
      <c r="E206" t="inlineStr">
        <is>
          <t>MARK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11928-2025</t>
        </is>
      </c>
      <c r="B207" s="1" t="n">
        <v>45728</v>
      </c>
      <c r="C207" s="1" t="n">
        <v>46205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14999-2025</t>
        </is>
      </c>
      <c r="B208" s="1" t="n">
        <v>45743</v>
      </c>
      <c r="C208" s="1" t="n">
        <v>46205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30272-2024</t>
        </is>
      </c>
      <c r="B209" s="1" t="n">
        <v>45490</v>
      </c>
      <c r="C209" s="1" t="n">
        <v>46205</v>
      </c>
      <c r="D209" t="inlineStr">
        <is>
          <t>VÄSTRA GÖTALANDS LÄN</t>
        </is>
      </c>
      <c r="E209" t="inlineStr">
        <is>
          <t>MARK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30277-2024</t>
        </is>
      </c>
      <c r="B210" s="1" t="n">
        <v>45490</v>
      </c>
      <c r="C210" s="1" t="n">
        <v>46205</v>
      </c>
      <c r="D210" t="inlineStr">
        <is>
          <t>VÄSTRA GÖTALANDS LÄN</t>
        </is>
      </c>
      <c r="E210" t="inlineStr">
        <is>
          <t>MARK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9890-2025</t>
        </is>
      </c>
      <c r="B211" s="1" t="n">
        <v>45716</v>
      </c>
      <c r="C211" s="1" t="n">
        <v>46205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15023-2025</t>
        </is>
      </c>
      <c r="B212" s="1" t="n">
        <v>45743</v>
      </c>
      <c r="C212" s="1" t="n">
        <v>46205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14977-2025</t>
        </is>
      </c>
      <c r="B213" s="1" t="n">
        <v>45743</v>
      </c>
      <c r="C213" s="1" t="n">
        <v>46205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1313-2025</t>
        </is>
      </c>
      <c r="B214" s="1" t="n">
        <v>45667</v>
      </c>
      <c r="C214" s="1" t="n">
        <v>46205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13927-2025</t>
        </is>
      </c>
      <c r="B215" s="1" t="n">
        <v>45737</v>
      </c>
      <c r="C215" s="1" t="n">
        <v>46205</v>
      </c>
      <c r="D215" t="inlineStr">
        <is>
          <t>VÄSTRA GÖTALANDS LÄN</t>
        </is>
      </c>
      <c r="E215" t="inlineStr">
        <is>
          <t>MARK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1814-2022</t>
        </is>
      </c>
      <c r="B216" s="1" t="n">
        <v>44574</v>
      </c>
      <c r="C216" s="1" t="n">
        <v>46205</v>
      </c>
      <c r="D216" t="inlineStr">
        <is>
          <t>VÄSTRA GÖTALANDS LÄN</t>
        </is>
      </c>
      <c r="E216" t="inlineStr">
        <is>
          <t>MARK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42464-2025</t>
        </is>
      </c>
      <c r="B217" s="1" t="n">
        <v>45905</v>
      </c>
      <c r="C217" s="1" t="n">
        <v>46205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30797-2025</t>
        </is>
      </c>
      <c r="B218" s="1" t="n">
        <v>45831</v>
      </c>
      <c r="C218" s="1" t="n">
        <v>46205</v>
      </c>
      <c r="D218" t="inlineStr">
        <is>
          <t>VÄSTRA GÖTALANDS LÄN</t>
        </is>
      </c>
      <c r="E218" t="inlineStr">
        <is>
          <t>MARK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42521-2025</t>
        </is>
      </c>
      <c r="B219" s="1" t="n">
        <v>45905</v>
      </c>
      <c r="C219" s="1" t="n">
        <v>46205</v>
      </c>
      <c r="D219" t="inlineStr">
        <is>
          <t>VÄSTRA GÖTALANDS LÄN</t>
        </is>
      </c>
      <c r="E219" t="inlineStr">
        <is>
          <t>MARK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42466-2025</t>
        </is>
      </c>
      <c r="B220" s="1" t="n">
        <v>45905</v>
      </c>
      <c r="C220" s="1" t="n">
        <v>46205</v>
      </c>
      <c r="D220" t="inlineStr">
        <is>
          <t>VÄSTRA GÖTALANDS LÄN</t>
        </is>
      </c>
      <c r="E220" t="inlineStr">
        <is>
          <t>MARK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9446-2024</t>
        </is>
      </c>
      <c r="B221" s="1" t="n">
        <v>45359</v>
      </c>
      <c r="C221" s="1" t="n">
        <v>46205</v>
      </c>
      <c r="D221" t="inlineStr">
        <is>
          <t>VÄSTRA GÖTALANDS LÄN</t>
        </is>
      </c>
      <c r="E221" t="inlineStr">
        <is>
          <t>MARK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31457-2025</t>
        </is>
      </c>
      <c r="B222" s="1" t="n">
        <v>45833</v>
      </c>
      <c r="C222" s="1" t="n">
        <v>46205</v>
      </c>
      <c r="D222" t="inlineStr">
        <is>
          <t>VÄSTRA GÖTALANDS LÄN</t>
        </is>
      </c>
      <c r="E222" t="inlineStr">
        <is>
          <t>MARK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2509-2026</t>
        </is>
      </c>
      <c r="B223" s="1" t="n">
        <v>46037</v>
      </c>
      <c r="C223" s="1" t="n">
        <v>46205</v>
      </c>
      <c r="D223" t="inlineStr">
        <is>
          <t>VÄSTRA GÖTALANDS LÄN</t>
        </is>
      </c>
      <c r="E223" t="inlineStr">
        <is>
          <t>MARK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31856-2025</t>
        </is>
      </c>
      <c r="B224" s="1" t="n">
        <v>45834</v>
      </c>
      <c r="C224" s="1" t="n">
        <v>46205</v>
      </c>
      <c r="D224" t="inlineStr">
        <is>
          <t>VÄSTRA GÖTALANDS LÄN</t>
        </is>
      </c>
      <c r="E224" t="inlineStr">
        <is>
          <t>MARK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31454-2025</t>
        </is>
      </c>
      <c r="B225" s="1" t="n">
        <v>45833</v>
      </c>
      <c r="C225" s="1" t="n">
        <v>46205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42921-2025</t>
        </is>
      </c>
      <c r="B226" s="1" t="n">
        <v>45908</v>
      </c>
      <c r="C226" s="1" t="n">
        <v>46205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43027-2025</t>
        </is>
      </c>
      <c r="B227" s="1" t="n">
        <v>45909</v>
      </c>
      <c r="C227" s="1" t="n">
        <v>46205</v>
      </c>
      <c r="D227" t="inlineStr">
        <is>
          <t>VÄSTRA GÖTALANDS LÄN</t>
        </is>
      </c>
      <c r="E227" t="inlineStr">
        <is>
          <t>MARK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2794-2026</t>
        </is>
      </c>
      <c r="B228" s="1" t="n">
        <v>46038</v>
      </c>
      <c r="C228" s="1" t="n">
        <v>46205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32553-2025</t>
        </is>
      </c>
      <c r="B229" s="1" t="n">
        <v>45838</v>
      </c>
      <c r="C229" s="1" t="n">
        <v>46205</v>
      </c>
      <c r="D229" t="inlineStr">
        <is>
          <t>VÄSTRA GÖTALANDS LÄN</t>
        </is>
      </c>
      <c r="E229" t="inlineStr">
        <is>
          <t>MARK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12422-2024</t>
        </is>
      </c>
      <c r="B230" s="1" t="n">
        <v>45379</v>
      </c>
      <c r="C230" s="1" t="n">
        <v>46205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58599-2022</t>
        </is>
      </c>
      <c r="B231" s="1" t="n">
        <v>44902</v>
      </c>
      <c r="C231" s="1" t="n">
        <v>46205</v>
      </c>
      <c r="D231" t="inlineStr">
        <is>
          <t>VÄSTRA GÖTALANDS LÄN</t>
        </is>
      </c>
      <c r="E231" t="inlineStr">
        <is>
          <t>MARK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32649-2025</t>
        </is>
      </c>
      <c r="B232" s="1" t="n">
        <v>45838</v>
      </c>
      <c r="C232" s="1" t="n">
        <v>46205</v>
      </c>
      <c r="D232" t="inlineStr">
        <is>
          <t>VÄSTRA GÖTALANDS LÄN</t>
        </is>
      </c>
      <c r="E232" t="inlineStr">
        <is>
          <t>MARK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61247-2023</t>
        </is>
      </c>
      <c r="B233" s="1" t="n">
        <v>45264</v>
      </c>
      <c r="C233" s="1" t="n">
        <v>46205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61250-2023</t>
        </is>
      </c>
      <c r="B234" s="1" t="n">
        <v>45264</v>
      </c>
      <c r="C234" s="1" t="n">
        <v>46205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57523-2022</t>
        </is>
      </c>
      <c r="B235" s="1" t="n">
        <v>44896</v>
      </c>
      <c r="C235" s="1" t="n">
        <v>46205</v>
      </c>
      <c r="D235" t="inlineStr">
        <is>
          <t>VÄSTRA GÖTALANDS LÄN</t>
        </is>
      </c>
      <c r="E235" t="inlineStr">
        <is>
          <t>MARK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43750-2024</t>
        </is>
      </c>
      <c r="B236" s="1" t="n">
        <v>45569</v>
      </c>
      <c r="C236" s="1" t="n">
        <v>46205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10902-2024</t>
        </is>
      </c>
      <c r="B237" s="1" t="n">
        <v>45370</v>
      </c>
      <c r="C237" s="1" t="n">
        <v>46205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3655-2023</t>
        </is>
      </c>
      <c r="B238" s="1" t="n">
        <v>44950</v>
      </c>
      <c r="C238" s="1" t="n">
        <v>46205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61010-2023</t>
        </is>
      </c>
      <c r="B239" s="1" t="n">
        <v>45261</v>
      </c>
      <c r="C239" s="1" t="n">
        <v>46205</v>
      </c>
      <c r="D239" t="inlineStr">
        <is>
          <t>VÄSTRA GÖTALANDS LÄN</t>
        </is>
      </c>
      <c r="E239" t="inlineStr">
        <is>
          <t>MARK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44425-2025</t>
        </is>
      </c>
      <c r="B240" s="1" t="n">
        <v>45916</v>
      </c>
      <c r="C240" s="1" t="n">
        <v>46205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32878-2025</t>
        </is>
      </c>
      <c r="B241" s="1" t="n">
        <v>45839</v>
      </c>
      <c r="C241" s="1" t="n">
        <v>46205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32885-2025</t>
        </is>
      </c>
      <c r="B242" s="1" t="n">
        <v>45839</v>
      </c>
      <c r="C242" s="1" t="n">
        <v>46205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42542-2024</t>
        </is>
      </c>
      <c r="B243" s="1" t="n">
        <v>45565</v>
      </c>
      <c r="C243" s="1" t="n">
        <v>46205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40858-2021</t>
        </is>
      </c>
      <c r="B244" s="1" t="n">
        <v>44421</v>
      </c>
      <c r="C244" s="1" t="n">
        <v>46205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33330-2025</t>
        </is>
      </c>
      <c r="B245" s="1" t="n">
        <v>45841</v>
      </c>
      <c r="C245" s="1" t="n">
        <v>46205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33352-2025</t>
        </is>
      </c>
      <c r="B246" s="1" t="n">
        <v>45841</v>
      </c>
      <c r="C246" s="1" t="n">
        <v>46205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33356-2025</t>
        </is>
      </c>
      <c r="B247" s="1" t="n">
        <v>45841</v>
      </c>
      <c r="C247" s="1" t="n">
        <v>46205</v>
      </c>
      <c r="D247" t="inlineStr">
        <is>
          <t>VÄSTRA GÖTALANDS LÄN</t>
        </is>
      </c>
      <c r="E247" t="inlineStr">
        <is>
          <t>MARK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2515-2026</t>
        </is>
      </c>
      <c r="B248" s="1" t="n">
        <v>46037</v>
      </c>
      <c r="C248" s="1" t="n">
        <v>46205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33365-2025</t>
        </is>
      </c>
      <c r="B249" s="1" t="n">
        <v>45841</v>
      </c>
      <c r="C249" s="1" t="n">
        <v>46205</v>
      </c>
      <c r="D249" t="inlineStr">
        <is>
          <t>VÄSTRA GÖTALANDS LÄN</t>
        </is>
      </c>
      <c r="E249" t="inlineStr">
        <is>
          <t>MARK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33468-2025</t>
        </is>
      </c>
      <c r="B250" s="1" t="n">
        <v>45841</v>
      </c>
      <c r="C250" s="1" t="n">
        <v>46205</v>
      </c>
      <c r="D250" t="inlineStr">
        <is>
          <t>VÄSTRA GÖTALANDS LÄN</t>
        </is>
      </c>
      <c r="E250" t="inlineStr">
        <is>
          <t>MARK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2626-2026</t>
        </is>
      </c>
      <c r="B251" s="1" t="n">
        <v>46037</v>
      </c>
      <c r="C251" s="1" t="n">
        <v>46205</v>
      </c>
      <c r="D251" t="inlineStr">
        <is>
          <t>VÄSTRA GÖTALANDS LÄN</t>
        </is>
      </c>
      <c r="E251" t="inlineStr">
        <is>
          <t>MARK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33444-2025</t>
        </is>
      </c>
      <c r="B252" s="1" t="n">
        <v>45841</v>
      </c>
      <c r="C252" s="1" t="n">
        <v>46205</v>
      </c>
      <c r="D252" t="inlineStr">
        <is>
          <t>VÄSTRA GÖTALANDS LÄN</t>
        </is>
      </c>
      <c r="E252" t="inlineStr">
        <is>
          <t>MARK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64737-2023</t>
        </is>
      </c>
      <c r="B253" s="1" t="n">
        <v>45281</v>
      </c>
      <c r="C253" s="1" t="n">
        <v>46205</v>
      </c>
      <c r="D253" t="inlineStr">
        <is>
          <t>VÄSTRA GÖTALANDS LÄN</t>
        </is>
      </c>
      <c r="E253" t="inlineStr">
        <is>
          <t>MARK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34277-2025</t>
        </is>
      </c>
      <c r="B254" s="1" t="n">
        <v>45845</v>
      </c>
      <c r="C254" s="1" t="n">
        <v>46205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45986-2025</t>
        </is>
      </c>
      <c r="B255" s="1" t="n">
        <v>45924</v>
      </c>
      <c r="C255" s="1" t="n">
        <v>46205</v>
      </c>
      <c r="D255" t="inlineStr">
        <is>
          <t>VÄSTRA GÖTALANDS LÄN</t>
        </is>
      </c>
      <c r="E255" t="inlineStr">
        <is>
          <t>MARK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34085-2025</t>
        </is>
      </c>
      <c r="B256" s="1" t="n">
        <v>45845</v>
      </c>
      <c r="C256" s="1" t="n">
        <v>46205</v>
      </c>
      <c r="D256" t="inlineStr">
        <is>
          <t>VÄSTRA GÖTALANDS LÄN</t>
        </is>
      </c>
      <c r="E256" t="inlineStr">
        <is>
          <t>MARK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44211-2023</t>
        </is>
      </c>
      <c r="B257" s="1" t="n">
        <v>45188</v>
      </c>
      <c r="C257" s="1" t="n">
        <v>46205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47405-2024</t>
        </is>
      </c>
      <c r="B258" s="1" t="n">
        <v>45587</v>
      </c>
      <c r="C258" s="1" t="n">
        <v>46205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22641-2025</t>
        </is>
      </c>
      <c r="B259" s="1" t="n">
        <v>45789</v>
      </c>
      <c r="C259" s="1" t="n">
        <v>46205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36300-2024</t>
        </is>
      </c>
      <c r="B260" s="1" t="n">
        <v>45534</v>
      </c>
      <c r="C260" s="1" t="n">
        <v>46205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45888-2025</t>
        </is>
      </c>
      <c r="B261" s="1" t="n">
        <v>45923</v>
      </c>
      <c r="C261" s="1" t="n">
        <v>46205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45897-2025</t>
        </is>
      </c>
      <c r="B262" s="1" t="n">
        <v>45923</v>
      </c>
      <c r="C262" s="1" t="n">
        <v>46205</v>
      </c>
      <c r="D262" t="inlineStr">
        <is>
          <t>VÄSTRA GÖTALANDS LÄN</t>
        </is>
      </c>
      <c r="E262" t="inlineStr">
        <is>
          <t>MARK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3682-2023</t>
        </is>
      </c>
      <c r="B263" s="1" t="n">
        <v>44950</v>
      </c>
      <c r="C263" s="1" t="n">
        <v>46205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15448-2022</t>
        </is>
      </c>
      <c r="B264" s="1" t="n">
        <v>44660</v>
      </c>
      <c r="C264" s="1" t="n">
        <v>46205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2616-2026</t>
        </is>
      </c>
      <c r="B265" s="1" t="n">
        <v>46037</v>
      </c>
      <c r="C265" s="1" t="n">
        <v>46205</v>
      </c>
      <c r="D265" t="inlineStr">
        <is>
          <t>VÄSTRA GÖTALANDS LÄN</t>
        </is>
      </c>
      <c r="E265" t="inlineStr">
        <is>
          <t>MARK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34501-2025</t>
        </is>
      </c>
      <c r="B266" s="1" t="n">
        <v>45847</v>
      </c>
      <c r="C266" s="1" t="n">
        <v>46205</v>
      </c>
      <c r="D266" t="inlineStr">
        <is>
          <t>VÄSTRA GÖTALANDS LÄN</t>
        </is>
      </c>
      <c r="E266" t="inlineStr">
        <is>
          <t>MARK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57805-2024</t>
        </is>
      </c>
      <c r="B267" s="1" t="n">
        <v>45631</v>
      </c>
      <c r="C267" s="1" t="n">
        <v>46205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60127-2024</t>
        </is>
      </c>
      <c r="B268" s="1" t="n">
        <v>45642</v>
      </c>
      <c r="C268" s="1" t="n">
        <v>46205</v>
      </c>
      <c r="D268" t="inlineStr">
        <is>
          <t>VÄSTRA GÖTALANDS LÄN</t>
        </is>
      </c>
      <c r="E268" t="inlineStr">
        <is>
          <t>MARK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13114-2025</t>
        </is>
      </c>
      <c r="B269" s="1" t="n">
        <v>45734</v>
      </c>
      <c r="C269" s="1" t="n">
        <v>46205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46511-2025</t>
        </is>
      </c>
      <c r="B270" s="1" t="n">
        <v>45925</v>
      </c>
      <c r="C270" s="1" t="n">
        <v>46205</v>
      </c>
      <c r="D270" t="inlineStr">
        <is>
          <t>VÄSTRA GÖTALANDS LÄN</t>
        </is>
      </c>
      <c r="E270" t="inlineStr">
        <is>
          <t>MARK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46512-2025</t>
        </is>
      </c>
      <c r="B271" s="1" t="n">
        <v>45925</v>
      </c>
      <c r="C271" s="1" t="n">
        <v>46205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26565-2025</t>
        </is>
      </c>
      <c r="B272" s="1" t="n">
        <v>45807</v>
      </c>
      <c r="C272" s="1" t="n">
        <v>46205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5739-2022</t>
        </is>
      </c>
      <c r="B273" s="1" t="n">
        <v>44596</v>
      </c>
      <c r="C273" s="1" t="n">
        <v>46205</v>
      </c>
      <c r="D273" t="inlineStr">
        <is>
          <t>VÄSTRA GÖTALANDS LÄN</t>
        </is>
      </c>
      <c r="E273" t="inlineStr">
        <is>
          <t>MARK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34902-2025</t>
        </is>
      </c>
      <c r="B274" s="1" t="n">
        <v>45849</v>
      </c>
      <c r="C274" s="1" t="n">
        <v>46205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46459-2025</t>
        </is>
      </c>
      <c r="B275" s="1" t="n">
        <v>45925</v>
      </c>
      <c r="C275" s="1" t="n">
        <v>46205</v>
      </c>
      <c r="D275" t="inlineStr">
        <is>
          <t>VÄSTRA GÖTALANDS LÄN</t>
        </is>
      </c>
      <c r="E275" t="inlineStr">
        <is>
          <t>MARK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17927-2024</t>
        </is>
      </c>
      <c r="B276" s="1" t="n">
        <v>45419</v>
      </c>
      <c r="C276" s="1" t="n">
        <v>46205</v>
      </c>
      <c r="D276" t="inlineStr">
        <is>
          <t>VÄSTRA GÖTALANDS LÄN</t>
        </is>
      </c>
      <c r="E276" t="inlineStr">
        <is>
          <t>MARK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53004-2021</t>
        </is>
      </c>
      <c r="B277" s="1" t="n">
        <v>44467</v>
      </c>
      <c r="C277" s="1" t="n">
        <v>46205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69289-2021</t>
        </is>
      </c>
      <c r="B278" s="1" t="n">
        <v>44531</v>
      </c>
      <c r="C278" s="1" t="n">
        <v>46205</v>
      </c>
      <c r="D278" t="inlineStr">
        <is>
          <t>VÄSTRA GÖTALANDS LÄN</t>
        </is>
      </c>
      <c r="E278" t="inlineStr">
        <is>
          <t>MARK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46284-2025</t>
        </is>
      </c>
      <c r="B279" s="1" t="n">
        <v>45925</v>
      </c>
      <c r="C279" s="1" t="n">
        <v>46205</v>
      </c>
      <c r="D279" t="inlineStr">
        <is>
          <t>VÄSTRA GÖTALANDS LÄN</t>
        </is>
      </c>
      <c r="E279" t="inlineStr">
        <is>
          <t>MARK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46290-2025</t>
        </is>
      </c>
      <c r="B280" s="1" t="n">
        <v>45925</v>
      </c>
      <c r="C280" s="1" t="n">
        <v>46205</v>
      </c>
      <c r="D280" t="inlineStr">
        <is>
          <t>VÄSTRA GÖTALANDS LÄN</t>
        </is>
      </c>
      <c r="E280" t="inlineStr">
        <is>
          <t>MARK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46294-2025</t>
        </is>
      </c>
      <c r="B281" s="1" t="n">
        <v>45925</v>
      </c>
      <c r="C281" s="1" t="n">
        <v>46205</v>
      </c>
      <c r="D281" t="inlineStr">
        <is>
          <t>VÄSTRA GÖTALANDS LÄN</t>
        </is>
      </c>
      <c r="E281" t="inlineStr">
        <is>
          <t>MARK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35313-2025</t>
        </is>
      </c>
      <c r="B282" s="1" t="n">
        <v>45854</v>
      </c>
      <c r="C282" s="1" t="n">
        <v>46205</v>
      </c>
      <c r="D282" t="inlineStr">
        <is>
          <t>VÄSTRA GÖTALANDS LÄN</t>
        </is>
      </c>
      <c r="E282" t="inlineStr">
        <is>
          <t>MARK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16710-2022</t>
        </is>
      </c>
      <c r="B283" s="1" t="n">
        <v>44673</v>
      </c>
      <c r="C283" s="1" t="n">
        <v>46205</v>
      </c>
      <c r="D283" t="inlineStr">
        <is>
          <t>VÄSTRA GÖTALANDS LÄN</t>
        </is>
      </c>
      <c r="E283" t="inlineStr">
        <is>
          <t>MARK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25560-2022</t>
        </is>
      </c>
      <c r="B284" s="1" t="n">
        <v>44732</v>
      </c>
      <c r="C284" s="1" t="n">
        <v>46205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61120-2023</t>
        </is>
      </c>
      <c r="B285" s="1" t="n">
        <v>45261</v>
      </c>
      <c r="C285" s="1" t="n">
        <v>46205</v>
      </c>
      <c r="D285" t="inlineStr">
        <is>
          <t>VÄSTRA GÖTALANDS LÄN</t>
        </is>
      </c>
      <c r="E285" t="inlineStr">
        <is>
          <t>MARK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32513-2025</t>
        </is>
      </c>
      <c r="B286" s="1" t="n">
        <v>45838</v>
      </c>
      <c r="C286" s="1" t="n">
        <v>46205</v>
      </c>
      <c r="D286" t="inlineStr">
        <is>
          <t>VÄSTRA GÖTALANDS LÄN</t>
        </is>
      </c>
      <c r="E286" t="inlineStr">
        <is>
          <t>MARK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35382-2025</t>
        </is>
      </c>
      <c r="B287" s="1" t="n">
        <v>45855</v>
      </c>
      <c r="C287" s="1" t="n">
        <v>46205</v>
      </c>
      <c r="D287" t="inlineStr">
        <is>
          <t>VÄSTRA GÖTALANDS LÄN</t>
        </is>
      </c>
      <c r="E287" t="inlineStr">
        <is>
          <t>MARK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35383-2025</t>
        </is>
      </c>
      <c r="B288" s="1" t="n">
        <v>45855</v>
      </c>
      <c r="C288" s="1" t="n">
        <v>46205</v>
      </c>
      <c r="D288" t="inlineStr">
        <is>
          <t>VÄSTRA GÖTALANDS LÄN</t>
        </is>
      </c>
      <c r="E288" t="inlineStr">
        <is>
          <t>MARK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35381-2025</t>
        </is>
      </c>
      <c r="B289" s="1" t="n">
        <v>45855</v>
      </c>
      <c r="C289" s="1" t="n">
        <v>46205</v>
      </c>
      <c r="D289" t="inlineStr">
        <is>
          <t>VÄSTRA GÖTALANDS LÄN</t>
        </is>
      </c>
      <c r="E289" t="inlineStr">
        <is>
          <t>MARK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35384-2025</t>
        </is>
      </c>
      <c r="B290" s="1" t="n">
        <v>45855</v>
      </c>
      <c r="C290" s="1" t="n">
        <v>46205</v>
      </c>
      <c r="D290" t="inlineStr">
        <is>
          <t>VÄSTRA GÖTALANDS LÄN</t>
        </is>
      </c>
      <c r="E290" t="inlineStr">
        <is>
          <t>MARK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4360-2022</t>
        </is>
      </c>
      <c r="B291" s="1" t="n">
        <v>44589</v>
      </c>
      <c r="C291" s="1" t="n">
        <v>46205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9557-2023</t>
        </is>
      </c>
      <c r="B292" s="1" t="n">
        <v>44982</v>
      </c>
      <c r="C292" s="1" t="n">
        <v>46205</v>
      </c>
      <c r="D292" t="inlineStr">
        <is>
          <t>VÄSTRA GÖTALANDS LÄN</t>
        </is>
      </c>
      <c r="E292" t="inlineStr">
        <is>
          <t>MARK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35915-2025</t>
        </is>
      </c>
      <c r="B293" s="1" t="n">
        <v>45862</v>
      </c>
      <c r="C293" s="1" t="n">
        <v>46205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35903-2025</t>
        </is>
      </c>
      <c r="B294" s="1" t="n">
        <v>45862</v>
      </c>
      <c r="C294" s="1" t="n">
        <v>46205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47830-2025</t>
        </is>
      </c>
      <c r="B295" s="1" t="n">
        <v>45931</v>
      </c>
      <c r="C295" s="1" t="n">
        <v>46205</v>
      </c>
      <c r="D295" t="inlineStr">
        <is>
          <t>VÄSTRA GÖTALANDS LÄN</t>
        </is>
      </c>
      <c r="E295" t="inlineStr">
        <is>
          <t>MARK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2896-2026</t>
        </is>
      </c>
      <c r="B296" s="1" t="n">
        <v>46037</v>
      </c>
      <c r="C296" s="1" t="n">
        <v>46205</v>
      </c>
      <c r="D296" t="inlineStr">
        <is>
          <t>VÄSTRA GÖTALANDS LÄN</t>
        </is>
      </c>
      <c r="E296" t="inlineStr">
        <is>
          <t>MARK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14132-2024</t>
        </is>
      </c>
      <c r="B297" s="1" t="n">
        <v>45392</v>
      </c>
      <c r="C297" s="1" t="n">
        <v>46205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3047-2026</t>
        </is>
      </c>
      <c r="B298" s="1" t="n">
        <v>46038</v>
      </c>
      <c r="C298" s="1" t="n">
        <v>46205</v>
      </c>
      <c r="D298" t="inlineStr">
        <is>
          <t>VÄSTRA GÖTALANDS LÄN</t>
        </is>
      </c>
      <c r="E298" t="inlineStr">
        <is>
          <t>MARK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36230-2025</t>
        </is>
      </c>
      <c r="B299" s="1" t="n">
        <v>45867</v>
      </c>
      <c r="C299" s="1" t="n">
        <v>46205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62375-2023</t>
        </is>
      </c>
      <c r="B300" s="1" t="n">
        <v>45268</v>
      </c>
      <c r="C300" s="1" t="n">
        <v>46205</v>
      </c>
      <c r="D300" t="inlineStr">
        <is>
          <t>VÄSTRA GÖTALANDS LÄN</t>
        </is>
      </c>
      <c r="E300" t="inlineStr">
        <is>
          <t>MARK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36270-2025</t>
        </is>
      </c>
      <c r="B301" s="1" t="n">
        <v>45867</v>
      </c>
      <c r="C301" s="1" t="n">
        <v>46205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48938-2025</t>
        </is>
      </c>
      <c r="B302" s="1" t="n">
        <v>45937</v>
      </c>
      <c r="C302" s="1" t="n">
        <v>46205</v>
      </c>
      <c r="D302" t="inlineStr">
        <is>
          <t>VÄSTRA GÖTALANDS LÄN</t>
        </is>
      </c>
      <c r="E302" t="inlineStr">
        <is>
          <t>MARK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54-2023</t>
        </is>
      </c>
      <c r="B303" s="1" t="n">
        <v>44928</v>
      </c>
      <c r="C303" s="1" t="n">
        <v>46205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16538-2023</t>
        </is>
      </c>
      <c r="B304" s="1" t="n">
        <v>45029</v>
      </c>
      <c r="C304" s="1" t="n">
        <v>46205</v>
      </c>
      <c r="D304" t="inlineStr">
        <is>
          <t>VÄSTRA GÖTALANDS LÄN</t>
        </is>
      </c>
      <c r="E304" t="inlineStr">
        <is>
          <t>MARK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16539-2023</t>
        </is>
      </c>
      <c r="B305" s="1" t="n">
        <v>45029</v>
      </c>
      <c r="C305" s="1" t="n">
        <v>46205</v>
      </c>
      <c r="D305" t="inlineStr">
        <is>
          <t>VÄSTRA GÖTALANDS LÄN</t>
        </is>
      </c>
      <c r="E305" t="inlineStr">
        <is>
          <t>MARK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58397-2022</t>
        </is>
      </c>
      <c r="B306" s="1" t="n">
        <v>44901</v>
      </c>
      <c r="C306" s="1" t="n">
        <v>46205</v>
      </c>
      <c r="D306" t="inlineStr">
        <is>
          <t>VÄSTRA GÖTALANDS LÄN</t>
        </is>
      </c>
      <c r="E306" t="inlineStr">
        <is>
          <t>MARK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59083-2022</t>
        </is>
      </c>
      <c r="B307" s="1" t="n">
        <v>44904</v>
      </c>
      <c r="C307" s="1" t="n">
        <v>46205</v>
      </c>
      <c r="D307" t="inlineStr">
        <is>
          <t>VÄSTRA GÖTALANDS LÄN</t>
        </is>
      </c>
      <c r="E307" t="inlineStr">
        <is>
          <t>MARK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51497-2022</t>
        </is>
      </c>
      <c r="B308" s="1" t="n">
        <v>44869</v>
      </c>
      <c r="C308" s="1" t="n">
        <v>46205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4306-2024</t>
        </is>
      </c>
      <c r="B309" s="1" t="n">
        <v>45324</v>
      </c>
      <c r="C309" s="1" t="n">
        <v>46205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9197-2024</t>
        </is>
      </c>
      <c r="B310" s="1" t="n">
        <v>45358</v>
      </c>
      <c r="C310" s="1" t="n">
        <v>46205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48915-2023</t>
        </is>
      </c>
      <c r="B311" s="1" t="n">
        <v>45209</v>
      </c>
      <c r="C311" s="1" t="n">
        <v>46205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45913-2024</t>
        </is>
      </c>
      <c r="B312" s="1" t="n">
        <v>45580</v>
      </c>
      <c r="C312" s="1" t="n">
        <v>46205</v>
      </c>
      <c r="D312" t="inlineStr">
        <is>
          <t>VÄSTRA GÖTALANDS LÄN</t>
        </is>
      </c>
      <c r="E312" t="inlineStr">
        <is>
          <t>MARK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48759-2025</t>
        </is>
      </c>
      <c r="B313" s="1" t="n">
        <v>45936</v>
      </c>
      <c r="C313" s="1" t="n">
        <v>46205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32888-2023</t>
        </is>
      </c>
      <c r="B314" s="1" t="n">
        <v>45124</v>
      </c>
      <c r="C314" s="1" t="n">
        <v>46205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2730-2023</t>
        </is>
      </c>
      <c r="B315" s="1" t="n">
        <v>44944</v>
      </c>
      <c r="C315" s="1" t="n">
        <v>46205</v>
      </c>
      <c r="D315" t="inlineStr">
        <is>
          <t>VÄSTRA GÖTALANDS LÄN</t>
        </is>
      </c>
      <c r="E315" t="inlineStr">
        <is>
          <t>MARK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58398-2022</t>
        </is>
      </c>
      <c r="B316" s="1" t="n">
        <v>44901</v>
      </c>
      <c r="C316" s="1" t="n">
        <v>46205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62999-2023</t>
        </is>
      </c>
      <c r="B317" s="1" t="n">
        <v>45272</v>
      </c>
      <c r="C317" s="1" t="n">
        <v>46205</v>
      </c>
      <c r="D317" t="inlineStr">
        <is>
          <t>VÄSTRA GÖTALANDS LÄN</t>
        </is>
      </c>
      <c r="E317" t="inlineStr">
        <is>
          <t>MARK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33266-2023</t>
        </is>
      </c>
      <c r="B318" s="1" t="n">
        <v>45127</v>
      </c>
      <c r="C318" s="1" t="n">
        <v>46205</v>
      </c>
      <c r="D318" t="inlineStr">
        <is>
          <t>VÄSTRA GÖTALANDS LÄN</t>
        </is>
      </c>
      <c r="E318" t="inlineStr">
        <is>
          <t>MARK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23385-2023</t>
        </is>
      </c>
      <c r="B319" s="1" t="n">
        <v>45076</v>
      </c>
      <c r="C319" s="1" t="n">
        <v>46205</v>
      </c>
      <c r="D319" t="inlineStr">
        <is>
          <t>VÄSTRA GÖTALANDS LÄN</t>
        </is>
      </c>
      <c r="E319" t="inlineStr">
        <is>
          <t>MARK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48952-2025</t>
        </is>
      </c>
      <c r="B320" s="1" t="n">
        <v>45937</v>
      </c>
      <c r="C320" s="1" t="n">
        <v>46205</v>
      </c>
      <c r="D320" t="inlineStr">
        <is>
          <t>VÄSTRA GÖTALANDS LÄN</t>
        </is>
      </c>
      <c r="E320" t="inlineStr">
        <is>
          <t>MARK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36652-2025</t>
        </is>
      </c>
      <c r="B321" s="1" t="n">
        <v>45872</v>
      </c>
      <c r="C321" s="1" t="n">
        <v>46205</v>
      </c>
      <c r="D321" t="inlineStr">
        <is>
          <t>VÄSTRA GÖTALANDS LÄN</t>
        </is>
      </c>
      <c r="E321" t="inlineStr">
        <is>
          <t>MARK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51495-2022</t>
        </is>
      </c>
      <c r="B322" s="1" t="n">
        <v>44869</v>
      </c>
      <c r="C322" s="1" t="n">
        <v>46205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49017-2025</t>
        </is>
      </c>
      <c r="B323" s="1" t="n">
        <v>45937</v>
      </c>
      <c r="C323" s="1" t="n">
        <v>46205</v>
      </c>
      <c r="D323" t="inlineStr">
        <is>
          <t>VÄSTRA GÖTALANDS LÄN</t>
        </is>
      </c>
      <c r="E323" t="inlineStr">
        <is>
          <t>MARK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12138-2023</t>
        </is>
      </c>
      <c r="B324" s="1" t="n">
        <v>44998</v>
      </c>
      <c r="C324" s="1" t="n">
        <v>46205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48909-2025</t>
        </is>
      </c>
      <c r="B325" s="1" t="n">
        <v>45937</v>
      </c>
      <c r="C325" s="1" t="n">
        <v>46205</v>
      </c>
      <c r="D325" t="inlineStr">
        <is>
          <t>VÄSTRA GÖTALANDS LÄN</t>
        </is>
      </c>
      <c r="E325" t="inlineStr">
        <is>
          <t>MARK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11331-2023</t>
        </is>
      </c>
      <c r="B326" s="1" t="n">
        <v>44993</v>
      </c>
      <c r="C326" s="1" t="n">
        <v>46205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57605-2022</t>
        </is>
      </c>
      <c r="B327" s="1" t="n">
        <v>44897</v>
      </c>
      <c r="C327" s="1" t="n">
        <v>46205</v>
      </c>
      <c r="D327" t="inlineStr">
        <is>
          <t>VÄSTRA GÖTALANDS LÄN</t>
        </is>
      </c>
      <c r="E327" t="inlineStr">
        <is>
          <t>MARK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43474-2024</t>
        </is>
      </c>
      <c r="B328" s="1" t="n">
        <v>45568</v>
      </c>
      <c r="C328" s="1" t="n">
        <v>46205</v>
      </c>
      <c r="D328" t="inlineStr">
        <is>
          <t>VÄSTRA GÖTALANDS LÄN</t>
        </is>
      </c>
      <c r="E328" t="inlineStr">
        <is>
          <t>MARK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36659-2022</t>
        </is>
      </c>
      <c r="B329" s="1" t="n">
        <v>44804</v>
      </c>
      <c r="C329" s="1" t="n">
        <v>46205</v>
      </c>
      <c r="D329" t="inlineStr">
        <is>
          <t>VÄSTRA GÖTALANDS LÄN</t>
        </is>
      </c>
      <c r="E329" t="inlineStr">
        <is>
          <t>MARK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3114-2024</t>
        </is>
      </c>
      <c r="B330" s="1" t="n">
        <v>45316</v>
      </c>
      <c r="C330" s="1" t="n">
        <v>46205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29099-2025</t>
        </is>
      </c>
      <c r="B331" s="1" t="n">
        <v>45821</v>
      </c>
      <c r="C331" s="1" t="n">
        <v>46205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37132-2025</t>
        </is>
      </c>
      <c r="B332" s="1" t="n">
        <v>45875</v>
      </c>
      <c r="C332" s="1" t="n">
        <v>46205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37153-2025</t>
        </is>
      </c>
      <c r="B333" s="1" t="n">
        <v>45875</v>
      </c>
      <c r="C333" s="1" t="n">
        <v>46205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37164-2025</t>
        </is>
      </c>
      <c r="B334" s="1" t="n">
        <v>45875</v>
      </c>
      <c r="C334" s="1" t="n">
        <v>46205</v>
      </c>
      <c r="D334" t="inlineStr">
        <is>
          <t>VÄSTRA GÖTALANDS LÄN</t>
        </is>
      </c>
      <c r="E334" t="inlineStr">
        <is>
          <t>MARK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37060-2025</t>
        </is>
      </c>
      <c r="B335" s="1" t="n">
        <v>45875</v>
      </c>
      <c r="C335" s="1" t="n">
        <v>46205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50222-2025</t>
        </is>
      </c>
      <c r="B336" s="1" t="n">
        <v>45943</v>
      </c>
      <c r="C336" s="1" t="n">
        <v>46205</v>
      </c>
      <c r="D336" t="inlineStr">
        <is>
          <t>VÄSTRA GÖTALANDS LÄN</t>
        </is>
      </c>
      <c r="E336" t="inlineStr">
        <is>
          <t>MARK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50240-2025</t>
        </is>
      </c>
      <c r="B337" s="1" t="n">
        <v>45943</v>
      </c>
      <c r="C337" s="1" t="n">
        <v>46205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45351-2025</t>
        </is>
      </c>
      <c r="B338" s="1" t="n">
        <v>45922</v>
      </c>
      <c r="C338" s="1" t="n">
        <v>46205</v>
      </c>
      <c r="D338" t="inlineStr">
        <is>
          <t>VÄSTRA GÖTALANDS LÄN</t>
        </is>
      </c>
      <c r="E338" t="inlineStr">
        <is>
          <t>MARK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37744-2025</t>
        </is>
      </c>
      <c r="B339" s="1" t="n">
        <v>45880</v>
      </c>
      <c r="C339" s="1" t="n">
        <v>46205</v>
      </c>
      <c r="D339" t="inlineStr">
        <is>
          <t>VÄSTRA GÖTALANDS LÄN</t>
        </is>
      </c>
      <c r="E339" t="inlineStr">
        <is>
          <t>MARK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45353-2025</t>
        </is>
      </c>
      <c r="B340" s="1" t="n">
        <v>45922</v>
      </c>
      <c r="C340" s="1" t="n">
        <v>46205</v>
      </c>
      <c r="D340" t="inlineStr">
        <is>
          <t>VÄSTRA GÖTALANDS LÄN</t>
        </is>
      </c>
      <c r="E340" t="inlineStr">
        <is>
          <t>MARK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23089-2023</t>
        </is>
      </c>
      <c r="B341" s="1" t="n">
        <v>45075</v>
      </c>
      <c r="C341" s="1" t="n">
        <v>46205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63365-2023</t>
        </is>
      </c>
      <c r="B342" s="1" t="n">
        <v>45274</v>
      </c>
      <c r="C342" s="1" t="n">
        <v>46205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43207-2022</t>
        </is>
      </c>
      <c r="B343" s="1" t="n">
        <v>44834</v>
      </c>
      <c r="C343" s="1" t="n">
        <v>46205</v>
      </c>
      <c r="D343" t="inlineStr">
        <is>
          <t>VÄSTRA GÖTALANDS LÄN</t>
        </is>
      </c>
      <c r="E343" t="inlineStr">
        <is>
          <t>MARK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272-2024</t>
        </is>
      </c>
      <c r="B344" s="1" t="n">
        <v>45294</v>
      </c>
      <c r="C344" s="1" t="n">
        <v>46205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35431-2022</t>
        </is>
      </c>
      <c r="B345" s="1" t="n">
        <v>44798</v>
      </c>
      <c r="C345" s="1" t="n">
        <v>46205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59926-2022</t>
        </is>
      </c>
      <c r="B346" s="1" t="n">
        <v>44909</v>
      </c>
      <c r="C346" s="1" t="n">
        <v>46205</v>
      </c>
      <c r="D346" t="inlineStr">
        <is>
          <t>VÄSTRA GÖTALANDS LÄN</t>
        </is>
      </c>
      <c r="E346" t="inlineStr">
        <is>
          <t>MARK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38587-2025</t>
        </is>
      </c>
      <c r="B347" s="1" t="n">
        <v>45884</v>
      </c>
      <c r="C347" s="1" t="n">
        <v>46205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56194-2024</t>
        </is>
      </c>
      <c r="B348" s="1" t="n">
        <v>45624</v>
      </c>
      <c r="C348" s="1" t="n">
        <v>46205</v>
      </c>
      <c r="D348" t="inlineStr">
        <is>
          <t>VÄSTRA GÖTALANDS LÄN</t>
        </is>
      </c>
      <c r="E348" t="inlineStr">
        <is>
          <t>MARK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56221-2024</t>
        </is>
      </c>
      <c r="B349" s="1" t="n">
        <v>45624</v>
      </c>
      <c r="C349" s="1" t="n">
        <v>46205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11576-2024</t>
        </is>
      </c>
      <c r="B350" s="1" t="n">
        <v>45373</v>
      </c>
      <c r="C350" s="1" t="n">
        <v>46205</v>
      </c>
      <c r="D350" t="inlineStr">
        <is>
          <t>VÄSTRA GÖTALANDS LÄN</t>
        </is>
      </c>
      <c r="E350" t="inlineStr">
        <is>
          <t>MARK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52200-2025</t>
        </is>
      </c>
      <c r="B351" s="1" t="n">
        <v>45953</v>
      </c>
      <c r="C351" s="1" t="n">
        <v>46205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52198-2025</t>
        </is>
      </c>
      <c r="B352" s="1" t="n">
        <v>45953</v>
      </c>
      <c r="C352" s="1" t="n">
        <v>46205</v>
      </c>
      <c r="D352" t="inlineStr">
        <is>
          <t>VÄSTRA GÖTALANDS LÄN</t>
        </is>
      </c>
      <c r="E352" t="inlineStr">
        <is>
          <t>MARK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4733-2026</t>
        </is>
      </c>
      <c r="B353" s="1" t="n">
        <v>46048</v>
      </c>
      <c r="C353" s="1" t="n">
        <v>46205</v>
      </c>
      <c r="D353" t="inlineStr">
        <is>
          <t>VÄSTRA GÖTALANDS LÄN</t>
        </is>
      </c>
      <c r="E353" t="inlineStr">
        <is>
          <t>MARK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4912-2026</t>
        </is>
      </c>
      <c r="B354" s="1" t="n">
        <v>46048</v>
      </c>
      <c r="C354" s="1" t="n">
        <v>46205</v>
      </c>
      <c r="D354" t="inlineStr">
        <is>
          <t>VÄSTRA GÖTALANDS LÄN</t>
        </is>
      </c>
      <c r="E354" t="inlineStr">
        <is>
          <t>MARK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4774-2026</t>
        </is>
      </c>
      <c r="B355" s="1" t="n">
        <v>46048</v>
      </c>
      <c r="C355" s="1" t="n">
        <v>46205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4622-2026</t>
        </is>
      </c>
      <c r="B356" s="1" t="n">
        <v>46048</v>
      </c>
      <c r="C356" s="1" t="n">
        <v>46205</v>
      </c>
      <c r="D356" t="inlineStr">
        <is>
          <t>VÄSTRA GÖTALANDS LÄN</t>
        </is>
      </c>
      <c r="E356" t="inlineStr">
        <is>
          <t>MARK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4523-2026</t>
        </is>
      </c>
      <c r="B357" s="1" t="n">
        <v>46046</v>
      </c>
      <c r="C357" s="1" t="n">
        <v>46205</v>
      </c>
      <c r="D357" t="inlineStr">
        <is>
          <t>VÄSTRA GÖTALANDS LÄN</t>
        </is>
      </c>
      <c r="E357" t="inlineStr">
        <is>
          <t>MARK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53318-2025</t>
        </is>
      </c>
      <c r="B358" s="1" t="n">
        <v>45959</v>
      </c>
      <c r="C358" s="1" t="n">
        <v>46205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53330-2025</t>
        </is>
      </c>
      <c r="B359" s="1" t="n">
        <v>45959</v>
      </c>
      <c r="C359" s="1" t="n">
        <v>46205</v>
      </c>
      <c r="D359" t="inlineStr">
        <is>
          <t>VÄSTRA GÖTALANDS LÄN</t>
        </is>
      </c>
      <c r="E359" t="inlineStr">
        <is>
          <t>MARK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2130-2025</t>
        </is>
      </c>
      <c r="B360" s="1" t="n">
        <v>45672</v>
      </c>
      <c r="C360" s="1" t="n">
        <v>46205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2135-2025</t>
        </is>
      </c>
      <c r="B361" s="1" t="n">
        <v>45672</v>
      </c>
      <c r="C361" s="1" t="n">
        <v>46205</v>
      </c>
      <c r="D361" t="inlineStr">
        <is>
          <t>VÄSTRA GÖTALANDS LÄN</t>
        </is>
      </c>
      <c r="E361" t="inlineStr">
        <is>
          <t>MARK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8920-2023</t>
        </is>
      </c>
      <c r="B362" s="1" t="n">
        <v>44973</v>
      </c>
      <c r="C362" s="1" t="n">
        <v>46205</v>
      </c>
      <c r="D362" t="inlineStr">
        <is>
          <t>VÄSTRA GÖTALANDS LÄN</t>
        </is>
      </c>
      <c r="E362" t="inlineStr">
        <is>
          <t>MARK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54226-2022</t>
        </is>
      </c>
      <c r="B363" s="1" t="n">
        <v>44881</v>
      </c>
      <c r="C363" s="1" t="n">
        <v>46205</v>
      </c>
      <c r="D363" t="inlineStr">
        <is>
          <t>VÄSTRA GÖTALANDS LÄN</t>
        </is>
      </c>
      <c r="E363" t="inlineStr">
        <is>
          <t>MARK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54119-2025</t>
        </is>
      </c>
      <c r="B364" s="1" t="n">
        <v>45964</v>
      </c>
      <c r="C364" s="1" t="n">
        <v>46205</v>
      </c>
      <c r="D364" t="inlineStr">
        <is>
          <t>VÄSTRA GÖTALANDS LÄN</t>
        </is>
      </c>
      <c r="E364" t="inlineStr">
        <is>
          <t>MARK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32182-2023</t>
        </is>
      </c>
      <c r="B365" s="1" t="n">
        <v>45119</v>
      </c>
      <c r="C365" s="1" t="n">
        <v>46205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61512-2024</t>
        </is>
      </c>
      <c r="B366" s="1" t="n">
        <v>45646</v>
      </c>
      <c r="C366" s="1" t="n">
        <v>46205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54576-2025</t>
        </is>
      </c>
      <c r="B367" s="1" t="n">
        <v>45965</v>
      </c>
      <c r="C367" s="1" t="n">
        <v>46205</v>
      </c>
      <c r="D367" t="inlineStr">
        <is>
          <t>VÄSTRA GÖTALANDS LÄN</t>
        </is>
      </c>
      <c r="E367" t="inlineStr">
        <is>
          <t>MARK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5893-2026</t>
        </is>
      </c>
      <c r="B368" s="1" t="n">
        <v>46052</v>
      </c>
      <c r="C368" s="1" t="n">
        <v>46205</v>
      </c>
      <c r="D368" t="inlineStr">
        <is>
          <t>VÄSTRA GÖTALANDS LÄN</t>
        </is>
      </c>
      <c r="E368" t="inlineStr">
        <is>
          <t>MARK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34162-2023</t>
        </is>
      </c>
      <c r="B369" s="1" t="n">
        <v>45137</v>
      </c>
      <c r="C369" s="1" t="n">
        <v>46205</v>
      </c>
      <c r="D369" t="inlineStr">
        <is>
          <t>VÄSTRA GÖTALANDS LÄN</t>
        </is>
      </c>
      <c r="E369" t="inlineStr">
        <is>
          <t>MARK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4098-2025</t>
        </is>
      </c>
      <c r="B370" s="1" t="n">
        <v>45684</v>
      </c>
      <c r="C370" s="1" t="n">
        <v>46205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57891-2024</t>
        </is>
      </c>
      <c r="B371" s="1" t="n">
        <v>45631</v>
      </c>
      <c r="C371" s="1" t="n">
        <v>46205</v>
      </c>
      <c r="D371" t="inlineStr">
        <is>
          <t>VÄSTRA GÖTALANDS LÄN</t>
        </is>
      </c>
      <c r="E371" t="inlineStr">
        <is>
          <t>MARK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57414-2024</t>
        </is>
      </c>
      <c r="B372" s="1" t="n">
        <v>45629</v>
      </c>
      <c r="C372" s="1" t="n">
        <v>46205</v>
      </c>
      <c r="D372" t="inlineStr">
        <is>
          <t>VÄSTRA GÖTALANDS LÄN</t>
        </is>
      </c>
      <c r="E372" t="inlineStr">
        <is>
          <t>MARK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23326-2022</t>
        </is>
      </c>
      <c r="B373" s="1" t="n">
        <v>44720</v>
      </c>
      <c r="C373" s="1" t="n">
        <v>46205</v>
      </c>
      <c r="D373" t="inlineStr">
        <is>
          <t>VÄSTRA GÖTALANDS LÄN</t>
        </is>
      </c>
      <c r="E373" t="inlineStr">
        <is>
          <t>MARK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3657-2025</t>
        </is>
      </c>
      <c r="B374" s="1" t="n">
        <v>45681</v>
      </c>
      <c r="C374" s="1" t="n">
        <v>46205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28285-2023</t>
        </is>
      </c>
      <c r="B375" s="1" t="n">
        <v>45099</v>
      </c>
      <c r="C375" s="1" t="n">
        <v>46205</v>
      </c>
      <c r="D375" t="inlineStr">
        <is>
          <t>VÄSTRA GÖTALANDS LÄN</t>
        </is>
      </c>
      <c r="E375" t="inlineStr">
        <is>
          <t>MARK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19709-2022</t>
        </is>
      </c>
      <c r="B376" s="1" t="n">
        <v>44694</v>
      </c>
      <c r="C376" s="1" t="n">
        <v>46205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17023-2023</t>
        </is>
      </c>
      <c r="B377" s="1" t="n">
        <v>45030</v>
      </c>
      <c r="C377" s="1" t="n">
        <v>46205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56858-2025</t>
        </is>
      </c>
      <c r="B378" s="1" t="n">
        <v>45978</v>
      </c>
      <c r="C378" s="1" t="n">
        <v>46205</v>
      </c>
      <c r="D378" t="inlineStr">
        <is>
          <t>VÄSTRA GÖTALANDS LÄN</t>
        </is>
      </c>
      <c r="E378" t="inlineStr">
        <is>
          <t>MARK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16716-2023</t>
        </is>
      </c>
      <c r="B379" s="1" t="n">
        <v>45030</v>
      </c>
      <c r="C379" s="1" t="n">
        <v>46205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56796-2025</t>
        </is>
      </c>
      <c r="B380" s="1" t="n">
        <v>45978</v>
      </c>
      <c r="C380" s="1" t="n">
        <v>46205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30577-2022</t>
        </is>
      </c>
      <c r="B381" s="1" t="n">
        <v>44762</v>
      </c>
      <c r="C381" s="1" t="n">
        <v>46205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34653-2023</t>
        </is>
      </c>
      <c r="B382" s="1" t="n">
        <v>45140</v>
      </c>
      <c r="C382" s="1" t="n">
        <v>46205</v>
      </c>
      <c r="D382" t="inlineStr">
        <is>
          <t>VÄSTRA GÖTALANDS LÄN</t>
        </is>
      </c>
      <c r="E382" t="inlineStr">
        <is>
          <t>MARK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43402-2023</t>
        </is>
      </c>
      <c r="B383" s="1" t="n">
        <v>45183</v>
      </c>
      <c r="C383" s="1" t="n">
        <v>46205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57528-2025</t>
        </is>
      </c>
      <c r="B384" s="1" t="n">
        <v>45980</v>
      </c>
      <c r="C384" s="1" t="n">
        <v>46205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6270-2026</t>
        </is>
      </c>
      <c r="B385" s="1" t="n">
        <v>46055</v>
      </c>
      <c r="C385" s="1" t="n">
        <v>46205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6271-2026</t>
        </is>
      </c>
      <c r="B386" s="1" t="n">
        <v>46055</v>
      </c>
      <c r="C386" s="1" t="n">
        <v>46205</v>
      </c>
      <c r="D386" t="inlineStr">
        <is>
          <t>VÄSTRA GÖTALANDS LÄN</t>
        </is>
      </c>
      <c r="E386" t="inlineStr">
        <is>
          <t>MARK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6745-2026</t>
        </is>
      </c>
      <c r="B387" s="1" t="n">
        <v>46056</v>
      </c>
      <c r="C387" s="1" t="n">
        <v>46205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37095-2022</t>
        </is>
      </c>
      <c r="B388" s="1" t="n">
        <v>44806</v>
      </c>
      <c r="C388" s="1" t="n">
        <v>46205</v>
      </c>
      <c r="D388" t="inlineStr">
        <is>
          <t>VÄSTRA GÖTALANDS LÄN</t>
        </is>
      </c>
      <c r="E388" t="inlineStr">
        <is>
          <t>MARK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6676-2026</t>
        </is>
      </c>
      <c r="B389" s="1" t="n">
        <v>46056</v>
      </c>
      <c r="C389" s="1" t="n">
        <v>46205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57993-2025</t>
        </is>
      </c>
      <c r="B390" s="1" t="n">
        <v>45982</v>
      </c>
      <c r="C390" s="1" t="n">
        <v>46205</v>
      </c>
      <c r="D390" t="inlineStr">
        <is>
          <t>VÄSTRA GÖTALANDS LÄN</t>
        </is>
      </c>
      <c r="E390" t="inlineStr">
        <is>
          <t>MARK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57985-2025</t>
        </is>
      </c>
      <c r="B391" s="1" t="n">
        <v>45982</v>
      </c>
      <c r="C391" s="1" t="n">
        <v>46205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26075-2023</t>
        </is>
      </c>
      <c r="B392" s="1" t="n">
        <v>45091</v>
      </c>
      <c r="C392" s="1" t="n">
        <v>46205</v>
      </c>
      <c r="D392" t="inlineStr">
        <is>
          <t>VÄSTRA GÖTALANDS LÄN</t>
        </is>
      </c>
      <c r="E392" t="inlineStr">
        <is>
          <t>MARK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7081-2026</t>
        </is>
      </c>
      <c r="B393" s="1" t="n">
        <v>46058</v>
      </c>
      <c r="C393" s="1" t="n">
        <v>46205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58640-2025</t>
        </is>
      </c>
      <c r="B394" s="1" t="n">
        <v>45986</v>
      </c>
      <c r="C394" s="1" t="n">
        <v>46205</v>
      </c>
      <c r="D394" t="inlineStr">
        <is>
          <t>VÄSTRA GÖTALANDS LÄN</t>
        </is>
      </c>
      <c r="E394" t="inlineStr">
        <is>
          <t>MARK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6780-2026</t>
        </is>
      </c>
      <c r="B395" s="1" t="n">
        <v>46057</v>
      </c>
      <c r="C395" s="1" t="n">
        <v>46205</v>
      </c>
      <c r="D395" t="inlineStr">
        <is>
          <t>VÄSTRA GÖTALANDS LÄN</t>
        </is>
      </c>
      <c r="E395" t="inlineStr">
        <is>
          <t>MARK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59161-2024</t>
        </is>
      </c>
      <c r="B396" s="1" t="n">
        <v>45637</v>
      </c>
      <c r="C396" s="1" t="n">
        <v>46205</v>
      </c>
      <c r="D396" t="inlineStr">
        <is>
          <t>VÄSTRA GÖTALANDS LÄN</t>
        </is>
      </c>
      <c r="E396" t="inlineStr">
        <is>
          <t>MARK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7357-2026</t>
        </is>
      </c>
      <c r="B397" s="1" t="n">
        <v>46059</v>
      </c>
      <c r="C397" s="1" t="n">
        <v>46205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10138-2025</t>
        </is>
      </c>
      <c r="B398" s="1" t="n">
        <v>45719</v>
      </c>
      <c r="C398" s="1" t="n">
        <v>46205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7869-2026</t>
        </is>
      </c>
      <c r="B399" s="1" t="n">
        <v>46062</v>
      </c>
      <c r="C399" s="1" t="n">
        <v>46205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8137-2026</t>
        </is>
      </c>
      <c r="B400" s="1" t="n">
        <v>46064</v>
      </c>
      <c r="C400" s="1" t="n">
        <v>46205</v>
      </c>
      <c r="D400" t="inlineStr">
        <is>
          <t>VÄSTRA GÖTALANDS LÄN</t>
        </is>
      </c>
      <c r="E400" t="inlineStr">
        <is>
          <t>MARK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34152-2021</t>
        </is>
      </c>
      <c r="B401" s="1" t="n">
        <v>44379</v>
      </c>
      <c r="C401" s="1" t="n">
        <v>46205</v>
      </c>
      <c r="D401" t="inlineStr">
        <is>
          <t>VÄSTRA GÖTALANDS LÄN</t>
        </is>
      </c>
      <c r="E401" t="inlineStr">
        <is>
          <t>MARK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60662-2025</t>
        </is>
      </c>
      <c r="B402" s="1" t="n">
        <v>45996</v>
      </c>
      <c r="C402" s="1" t="n">
        <v>46205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60790-2025</t>
        </is>
      </c>
      <c r="B403" s="1" t="n">
        <v>45999</v>
      </c>
      <c r="C403" s="1" t="n">
        <v>46205</v>
      </c>
      <c r="D403" t="inlineStr">
        <is>
          <t>VÄSTRA GÖTALANDS LÄN</t>
        </is>
      </c>
      <c r="E403" t="inlineStr">
        <is>
          <t>MARK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16154-2025</t>
        </is>
      </c>
      <c r="B404" s="1" t="n">
        <v>45750</v>
      </c>
      <c r="C404" s="1" t="n">
        <v>46205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42822-2021</t>
        </is>
      </c>
      <c r="B405" s="1" t="n">
        <v>44430</v>
      </c>
      <c r="C405" s="1" t="n">
        <v>46205</v>
      </c>
      <c r="D405" t="inlineStr">
        <is>
          <t>VÄSTRA GÖTALANDS LÄN</t>
        </is>
      </c>
      <c r="E405" t="inlineStr">
        <is>
          <t>MARK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61284-2025</t>
        </is>
      </c>
      <c r="B406" s="1" t="n">
        <v>46000</v>
      </c>
      <c r="C406" s="1" t="n">
        <v>46205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12313-2024</t>
        </is>
      </c>
      <c r="B407" s="1" t="n">
        <v>45378</v>
      </c>
      <c r="C407" s="1" t="n">
        <v>46205</v>
      </c>
      <c r="D407" t="inlineStr">
        <is>
          <t>VÄSTRA GÖTALANDS LÄN</t>
        </is>
      </c>
      <c r="E407" t="inlineStr">
        <is>
          <t>MARK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61285-2025</t>
        </is>
      </c>
      <c r="B408" s="1" t="n">
        <v>46000</v>
      </c>
      <c r="C408" s="1" t="n">
        <v>46205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15864-2023</t>
        </is>
      </c>
      <c r="B409" s="1" t="n">
        <v>45022</v>
      </c>
      <c r="C409" s="1" t="n">
        <v>46205</v>
      </c>
      <c r="D409" t="inlineStr">
        <is>
          <t>VÄSTRA GÖTALANDS LÄN</t>
        </is>
      </c>
      <c r="E409" t="inlineStr">
        <is>
          <t>MARK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29665-2023</t>
        </is>
      </c>
      <c r="B410" s="1" t="n">
        <v>45107</v>
      </c>
      <c r="C410" s="1" t="n">
        <v>46205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61282-2025</t>
        </is>
      </c>
      <c r="B411" s="1" t="n">
        <v>46000</v>
      </c>
      <c r="C411" s="1" t="n">
        <v>46205</v>
      </c>
      <c r="D411" t="inlineStr">
        <is>
          <t>VÄSTRA GÖTALANDS LÄN</t>
        </is>
      </c>
      <c r="E411" t="inlineStr">
        <is>
          <t>MARK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16541-2025</t>
        </is>
      </c>
      <c r="B412" s="1" t="n">
        <v>45751</v>
      </c>
      <c r="C412" s="1" t="n">
        <v>46205</v>
      </c>
      <c r="D412" t="inlineStr">
        <is>
          <t>VÄSTRA GÖTALANDS LÄN</t>
        </is>
      </c>
      <c r="E412" t="inlineStr">
        <is>
          <t>MARK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61372-2025</t>
        </is>
      </c>
      <c r="B413" s="1" t="n">
        <v>46001</v>
      </c>
      <c r="C413" s="1" t="n">
        <v>46205</v>
      </c>
      <c r="D413" t="inlineStr">
        <is>
          <t>VÄSTRA GÖTALANDS LÄN</t>
        </is>
      </c>
      <c r="E413" t="inlineStr">
        <is>
          <t>MARK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61283-2025</t>
        </is>
      </c>
      <c r="B414" s="1" t="n">
        <v>46000</v>
      </c>
      <c r="C414" s="1" t="n">
        <v>46205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61380-2025</t>
        </is>
      </c>
      <c r="B415" s="1" t="n">
        <v>46001</v>
      </c>
      <c r="C415" s="1" t="n">
        <v>46205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61946-2025</t>
        </is>
      </c>
      <c r="B416" s="1" t="n">
        <v>46003</v>
      </c>
      <c r="C416" s="1" t="n">
        <v>46205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62088-2025</t>
        </is>
      </c>
      <c r="B417" s="1" t="n">
        <v>46006</v>
      </c>
      <c r="C417" s="1" t="n">
        <v>46205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1643-2024</t>
        </is>
      </c>
      <c r="B418" s="1" t="n">
        <v>45306</v>
      </c>
      <c r="C418" s="1" t="n">
        <v>46205</v>
      </c>
      <c r="D418" t="inlineStr">
        <is>
          <t>VÄSTRA GÖTALANDS LÄN</t>
        </is>
      </c>
      <c r="E418" t="inlineStr">
        <is>
          <t>MARK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62080-2025</t>
        </is>
      </c>
      <c r="B419" s="1" t="n">
        <v>46006</v>
      </c>
      <c r="C419" s="1" t="n">
        <v>46205</v>
      </c>
      <c r="D419" t="inlineStr">
        <is>
          <t>VÄSTRA GÖTALANDS LÄN</t>
        </is>
      </c>
      <c r="E419" t="inlineStr">
        <is>
          <t>MARK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27691-2024</t>
        </is>
      </c>
      <c r="B420" s="1" t="n">
        <v>45475</v>
      </c>
      <c r="C420" s="1" t="n">
        <v>46205</v>
      </c>
      <c r="D420" t="inlineStr">
        <is>
          <t>VÄSTRA GÖTALANDS LÄN</t>
        </is>
      </c>
      <c r="E420" t="inlineStr">
        <is>
          <t>MARK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10554-2026</t>
        </is>
      </c>
      <c r="B421" s="1" t="n">
        <v>46077</v>
      </c>
      <c r="C421" s="1" t="n">
        <v>46205</v>
      </c>
      <c r="D421" t="inlineStr">
        <is>
          <t>VÄSTRA GÖTALANDS LÄN</t>
        </is>
      </c>
      <c r="E421" t="inlineStr">
        <is>
          <t>MARK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62660-2025</t>
        </is>
      </c>
      <c r="B422" s="1" t="n">
        <v>46008</v>
      </c>
      <c r="C422" s="1" t="n">
        <v>46205</v>
      </c>
      <c r="D422" t="inlineStr">
        <is>
          <t>VÄSTRA GÖTALANDS LÄN</t>
        </is>
      </c>
      <c r="E422" t="inlineStr">
        <is>
          <t>MARK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61379-2023</t>
        </is>
      </c>
      <c r="B423" s="1" t="n">
        <v>45264</v>
      </c>
      <c r="C423" s="1" t="n">
        <v>46205</v>
      </c>
      <c r="D423" t="inlineStr">
        <is>
          <t>VÄSTRA GÖTALANDS LÄN</t>
        </is>
      </c>
      <c r="E423" t="inlineStr">
        <is>
          <t>MARK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16987-2025</t>
        </is>
      </c>
      <c r="B424" s="1" t="n">
        <v>45755</v>
      </c>
      <c r="C424" s="1" t="n">
        <v>46205</v>
      </c>
      <c r="D424" t="inlineStr">
        <is>
          <t>VÄSTRA GÖTALANDS LÄN</t>
        </is>
      </c>
      <c r="E424" t="inlineStr">
        <is>
          <t>MARK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62404-2025</t>
        </is>
      </c>
      <c r="B425" s="1" t="n">
        <v>46007</v>
      </c>
      <c r="C425" s="1" t="n">
        <v>46205</v>
      </c>
      <c r="D425" t="inlineStr">
        <is>
          <t>VÄSTRA GÖTALANDS LÄN</t>
        </is>
      </c>
      <c r="E425" t="inlineStr">
        <is>
          <t>MARK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63093-2025</t>
        </is>
      </c>
      <c r="B426" s="1" t="n">
        <v>46009</v>
      </c>
      <c r="C426" s="1" t="n">
        <v>46205</v>
      </c>
      <c r="D426" t="inlineStr">
        <is>
          <t>VÄSTRA GÖTALANDS LÄN</t>
        </is>
      </c>
      <c r="E426" t="inlineStr">
        <is>
          <t>MARK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826-2023</t>
        </is>
      </c>
      <c r="B427" s="1" t="n">
        <v>44928</v>
      </c>
      <c r="C427" s="1" t="n">
        <v>46205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54549-2021</t>
        </is>
      </c>
      <c r="B428" s="1" t="n">
        <v>44473</v>
      </c>
      <c r="C428" s="1" t="n">
        <v>46205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9174-2025</t>
        </is>
      </c>
      <c r="B429" s="1" t="n">
        <v>45714</v>
      </c>
      <c r="C429" s="1" t="n">
        <v>46205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55604-2023</t>
        </is>
      </c>
      <c r="B430" s="1" t="n">
        <v>45238</v>
      </c>
      <c r="C430" s="1" t="n">
        <v>46205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6428-2025</t>
        </is>
      </c>
      <c r="B431" s="1" t="n">
        <v>45699</v>
      </c>
      <c r="C431" s="1" t="n">
        <v>46205</v>
      </c>
      <c r="D431" t="inlineStr">
        <is>
          <t>VÄSTRA GÖTALANDS LÄN</t>
        </is>
      </c>
      <c r="E431" t="inlineStr">
        <is>
          <t>MARK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32961-2025</t>
        </is>
      </c>
      <c r="B432" s="1" t="n">
        <v>45839</v>
      </c>
      <c r="C432" s="1" t="n">
        <v>46205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8546-2025</t>
        </is>
      </c>
      <c r="B433" s="1" t="n">
        <v>45709</v>
      </c>
      <c r="C433" s="1" t="n">
        <v>46205</v>
      </c>
      <c r="D433" t="inlineStr">
        <is>
          <t>VÄSTRA GÖTALANDS LÄN</t>
        </is>
      </c>
      <c r="E433" t="inlineStr">
        <is>
          <t>MARK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63418-2025</t>
        </is>
      </c>
      <c r="B434" s="1" t="n">
        <v>46013</v>
      </c>
      <c r="C434" s="1" t="n">
        <v>46205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63493-2025</t>
        </is>
      </c>
      <c r="B435" s="1" t="n">
        <v>46013</v>
      </c>
      <c r="C435" s="1" t="n">
        <v>46205</v>
      </c>
      <c r="D435" t="inlineStr">
        <is>
          <t>VÄSTRA GÖTALANDS LÄN</t>
        </is>
      </c>
      <c r="E435" t="inlineStr">
        <is>
          <t>MARK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18589-2025</t>
        </is>
      </c>
      <c r="B436" s="1" t="n">
        <v>45763</v>
      </c>
      <c r="C436" s="1" t="n">
        <v>46205</v>
      </c>
      <c r="D436" t="inlineStr">
        <is>
          <t>VÄSTRA GÖTALANDS LÄN</t>
        </is>
      </c>
      <c r="E436" t="inlineStr">
        <is>
          <t>MARK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18593-2025</t>
        </is>
      </c>
      <c r="B437" s="1" t="n">
        <v>45763</v>
      </c>
      <c r="C437" s="1" t="n">
        <v>46205</v>
      </c>
      <c r="D437" t="inlineStr">
        <is>
          <t>VÄSTRA GÖTALANDS LÄN</t>
        </is>
      </c>
      <c r="E437" t="inlineStr">
        <is>
          <t>MARK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11175-2025</t>
        </is>
      </c>
      <c r="B438" s="1" t="n">
        <v>45724</v>
      </c>
      <c r="C438" s="1" t="n">
        <v>46205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9256-2025</t>
        </is>
      </c>
      <c r="B439" s="1" t="n">
        <v>45714</v>
      </c>
      <c r="C439" s="1" t="n">
        <v>46205</v>
      </c>
      <c r="D439" t="inlineStr">
        <is>
          <t>VÄSTRA GÖTALANDS LÄN</t>
        </is>
      </c>
      <c r="E439" t="inlineStr">
        <is>
          <t>MARK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7958-2025</t>
        </is>
      </c>
      <c r="B440" s="1" t="n">
        <v>45707</v>
      </c>
      <c r="C440" s="1" t="n">
        <v>46205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8609-2025</t>
        </is>
      </c>
      <c r="B441" s="1" t="n">
        <v>45710</v>
      </c>
      <c r="C441" s="1" t="n">
        <v>46205</v>
      </c>
      <c r="D441" t="inlineStr">
        <is>
          <t>VÄSTRA GÖTALANDS LÄN</t>
        </is>
      </c>
      <c r="E441" t="inlineStr">
        <is>
          <t>MARK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4989-2025</t>
        </is>
      </c>
      <c r="B442" s="1" t="n">
        <v>45691</v>
      </c>
      <c r="C442" s="1" t="n">
        <v>46205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9099-2025</t>
        </is>
      </c>
      <c r="B443" s="1" t="n">
        <v>45713</v>
      </c>
      <c r="C443" s="1" t="n">
        <v>46205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5592-2025</t>
        </is>
      </c>
      <c r="B444" s="1" t="n">
        <v>45693</v>
      </c>
      <c r="C444" s="1" t="n">
        <v>46205</v>
      </c>
      <c r="D444" t="inlineStr">
        <is>
          <t>VÄSTRA GÖTALANDS LÄN</t>
        </is>
      </c>
      <c r="E444" t="inlineStr">
        <is>
          <t>MARK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22426-2022</t>
        </is>
      </c>
      <c r="B445" s="1" t="n">
        <v>44713</v>
      </c>
      <c r="C445" s="1" t="n">
        <v>46205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53832-2021</t>
        </is>
      </c>
      <c r="B446" s="1" t="n">
        <v>44469</v>
      </c>
      <c r="C446" s="1" t="n">
        <v>46205</v>
      </c>
      <c r="D446" t="inlineStr">
        <is>
          <t>VÄSTRA GÖTALANDS LÄN</t>
        </is>
      </c>
      <c r="E446" t="inlineStr">
        <is>
          <t>MARK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22625-2022</t>
        </is>
      </c>
      <c r="B447" s="1" t="n">
        <v>44714</v>
      </c>
      <c r="C447" s="1" t="n">
        <v>46205</v>
      </c>
      <c r="D447" t="inlineStr">
        <is>
          <t>VÄSTRA GÖTALANDS LÄN</t>
        </is>
      </c>
      <c r="E447" t="inlineStr">
        <is>
          <t>MARK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12368-2022</t>
        </is>
      </c>
      <c r="B448" s="1" t="n">
        <v>44637</v>
      </c>
      <c r="C448" s="1" t="n">
        <v>46205</v>
      </c>
      <c r="D448" t="inlineStr">
        <is>
          <t>VÄSTRA GÖTALANDS LÄN</t>
        </is>
      </c>
      <c r="E448" t="inlineStr">
        <is>
          <t>MARK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61059-2023</t>
        </is>
      </c>
      <c r="B449" s="1" t="n">
        <v>45260</v>
      </c>
      <c r="C449" s="1" t="n">
        <v>46205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11675-2026</t>
        </is>
      </c>
      <c r="B450" s="1" t="n">
        <v>46084</v>
      </c>
      <c r="C450" s="1" t="n">
        <v>46205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4255-2026</t>
        </is>
      </c>
      <c r="B451" s="1" t="n">
        <v>46045</v>
      </c>
      <c r="C451" s="1" t="n">
        <v>46205</v>
      </c>
      <c r="D451" t="inlineStr">
        <is>
          <t>VÄSTRA GÖTALANDS LÄN</t>
        </is>
      </c>
      <c r="E451" t="inlineStr">
        <is>
          <t>MARK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11549-2026</t>
        </is>
      </c>
      <c r="B452" s="1" t="n">
        <v>46084</v>
      </c>
      <c r="C452" s="1" t="n">
        <v>46205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11553-2026</t>
        </is>
      </c>
      <c r="B453" s="1" t="n">
        <v>46084</v>
      </c>
      <c r="C453" s="1" t="n">
        <v>46205</v>
      </c>
      <c r="D453" t="inlineStr">
        <is>
          <t>VÄSTRA GÖTALANDS LÄN</t>
        </is>
      </c>
      <c r="E453" t="inlineStr">
        <is>
          <t>MARK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11551-2026</t>
        </is>
      </c>
      <c r="B454" s="1" t="n">
        <v>46084</v>
      </c>
      <c r="C454" s="1" t="n">
        <v>46205</v>
      </c>
      <c r="D454" t="inlineStr">
        <is>
          <t>VÄSTRA GÖTALANDS LÄN</t>
        </is>
      </c>
      <c r="E454" t="inlineStr">
        <is>
          <t>MARK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26852-2023</t>
        </is>
      </c>
      <c r="B455" s="1" t="n">
        <v>45093</v>
      </c>
      <c r="C455" s="1" t="n">
        <v>46205</v>
      </c>
      <c r="D455" t="inlineStr">
        <is>
          <t>VÄSTRA GÖTALANDS LÄN</t>
        </is>
      </c>
      <c r="E455" t="inlineStr">
        <is>
          <t>MARK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11969-2026</t>
        </is>
      </c>
      <c r="B456" s="1" t="n">
        <v>46085</v>
      </c>
      <c r="C456" s="1" t="n">
        <v>46205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14139-2025</t>
        </is>
      </c>
      <c r="B457" s="1" t="n">
        <v>45740</v>
      </c>
      <c r="C457" s="1" t="n">
        <v>46205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4139-2022</t>
        </is>
      </c>
      <c r="B458" s="1" t="n">
        <v>44588</v>
      </c>
      <c r="C458" s="1" t="n">
        <v>46205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54374-2023</t>
        </is>
      </c>
      <c r="B459" s="1" t="n">
        <v>45233</v>
      </c>
      <c r="C459" s="1" t="n">
        <v>46205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51041-2023</t>
        </is>
      </c>
      <c r="B460" s="1" t="n">
        <v>45218</v>
      </c>
      <c r="C460" s="1" t="n">
        <v>46205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20353-2023</t>
        </is>
      </c>
      <c r="B461" s="1" t="n">
        <v>45056</v>
      </c>
      <c r="C461" s="1" t="n">
        <v>46205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37455-2023</t>
        </is>
      </c>
      <c r="B462" s="1" t="n">
        <v>45156</v>
      </c>
      <c r="C462" s="1" t="n">
        <v>46205</v>
      </c>
      <c r="D462" t="inlineStr">
        <is>
          <t>VÄSTRA GÖTALANDS LÄN</t>
        </is>
      </c>
      <c r="E462" t="inlineStr">
        <is>
          <t>MARK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4376-2025</t>
        </is>
      </c>
      <c r="B463" s="1" t="n">
        <v>45686</v>
      </c>
      <c r="C463" s="1" t="n">
        <v>46205</v>
      </c>
      <c r="D463" t="inlineStr">
        <is>
          <t>VÄSTRA GÖTALANDS LÄN</t>
        </is>
      </c>
      <c r="E463" t="inlineStr">
        <is>
          <t>MARK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28047-2023</t>
        </is>
      </c>
      <c r="B464" s="1" t="n">
        <v>45099</v>
      </c>
      <c r="C464" s="1" t="n">
        <v>46205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13003-2026</t>
        </is>
      </c>
      <c r="B465" s="1" t="n">
        <v>46092</v>
      </c>
      <c r="C465" s="1" t="n">
        <v>46205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31302-2023</t>
        </is>
      </c>
      <c r="B466" s="1" t="n">
        <v>45104</v>
      </c>
      <c r="C466" s="1" t="n">
        <v>46205</v>
      </c>
      <c r="D466" t="inlineStr">
        <is>
          <t>VÄSTRA GÖTALANDS LÄN</t>
        </is>
      </c>
      <c r="E466" t="inlineStr">
        <is>
          <t>MARK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13669-2026</t>
        </is>
      </c>
      <c r="B467" s="1" t="n">
        <v>46097</v>
      </c>
      <c r="C467" s="1" t="n">
        <v>46205</v>
      </c>
      <c r="D467" t="inlineStr">
        <is>
          <t>VÄSTRA GÖTALANDS LÄN</t>
        </is>
      </c>
      <c r="E467" t="inlineStr">
        <is>
          <t>MARK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32631-2023</t>
        </is>
      </c>
      <c r="B468" s="1" t="n">
        <v>45121</v>
      </c>
      <c r="C468" s="1" t="n">
        <v>46205</v>
      </c>
      <c r="D468" t="inlineStr">
        <is>
          <t>VÄSTRA GÖTALANDS LÄN</t>
        </is>
      </c>
      <c r="E468" t="inlineStr">
        <is>
          <t>MARK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13589-2026</t>
        </is>
      </c>
      <c r="B469" s="1" t="n">
        <v>46096</v>
      </c>
      <c r="C469" s="1" t="n">
        <v>46205</v>
      </c>
      <c r="D469" t="inlineStr">
        <is>
          <t>VÄSTRA GÖTALANDS LÄN</t>
        </is>
      </c>
      <c r="E469" t="inlineStr">
        <is>
          <t>MARK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13519-2026</t>
        </is>
      </c>
      <c r="B470" s="1" t="n">
        <v>46094</v>
      </c>
      <c r="C470" s="1" t="n">
        <v>46205</v>
      </c>
      <c r="D470" t="inlineStr">
        <is>
          <t>VÄSTRA GÖTALANDS LÄN</t>
        </is>
      </c>
      <c r="E470" t="inlineStr">
        <is>
          <t>MARK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59004-2021</t>
        </is>
      </c>
      <c r="B471" s="1" t="n">
        <v>44489</v>
      </c>
      <c r="C471" s="1" t="n">
        <v>46205</v>
      </c>
      <c r="D471" t="inlineStr">
        <is>
          <t>VÄSTRA GÖTALANDS LÄN</t>
        </is>
      </c>
      <c r="E471" t="inlineStr">
        <is>
          <t>MARK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13601-2026</t>
        </is>
      </c>
      <c r="B472" s="1" t="n">
        <v>46097</v>
      </c>
      <c r="C472" s="1" t="n">
        <v>46205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65121-2023</t>
        </is>
      </c>
      <c r="B473" s="1" t="n">
        <v>45288</v>
      </c>
      <c r="C473" s="1" t="n">
        <v>46205</v>
      </c>
      <c r="D473" t="inlineStr">
        <is>
          <t>VÄSTRA GÖTALANDS LÄN</t>
        </is>
      </c>
      <c r="E473" t="inlineStr">
        <is>
          <t>MARK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9265-2024</t>
        </is>
      </c>
      <c r="B474" s="1" t="n">
        <v>45358</v>
      </c>
      <c r="C474" s="1" t="n">
        <v>46205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10910-2024</t>
        </is>
      </c>
      <c r="B475" s="1" t="n">
        <v>45370</v>
      </c>
      <c r="C475" s="1" t="n">
        <v>46205</v>
      </c>
      <c r="D475" t="inlineStr">
        <is>
          <t>VÄSTRA GÖTALANDS LÄN</t>
        </is>
      </c>
      <c r="E475" t="inlineStr">
        <is>
          <t>MARK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26945-2023</t>
        </is>
      </c>
      <c r="B476" s="1" t="n">
        <v>45093</v>
      </c>
      <c r="C476" s="1" t="n">
        <v>46205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26938-2023</t>
        </is>
      </c>
      <c r="B477" s="1" t="n">
        <v>45093</v>
      </c>
      <c r="C477" s="1" t="n">
        <v>46205</v>
      </c>
      <c r="D477" t="inlineStr">
        <is>
          <t>VÄSTRA GÖTALANDS LÄN</t>
        </is>
      </c>
      <c r="E477" t="inlineStr">
        <is>
          <t>MARK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14570-2026</t>
        </is>
      </c>
      <c r="B478" s="1" t="n">
        <v>46100</v>
      </c>
      <c r="C478" s="1" t="n">
        <v>46205</v>
      </c>
      <c r="D478" t="inlineStr">
        <is>
          <t>VÄSTRA GÖTALANDS LÄN</t>
        </is>
      </c>
      <c r="E478" t="inlineStr">
        <is>
          <t>MARK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8372-2024</t>
        </is>
      </c>
      <c r="B479" s="1" t="n">
        <v>45352</v>
      </c>
      <c r="C479" s="1" t="n">
        <v>46205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64740-2023</t>
        </is>
      </c>
      <c r="B480" s="1" t="n">
        <v>45281</v>
      </c>
      <c r="C480" s="1" t="n">
        <v>46205</v>
      </c>
      <c r="D480" t="inlineStr">
        <is>
          <t>VÄSTRA GÖTALANDS LÄN</t>
        </is>
      </c>
      <c r="E480" t="inlineStr">
        <is>
          <t>MARK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38357-2024</t>
        </is>
      </c>
      <c r="B481" s="1" t="n">
        <v>45545</v>
      </c>
      <c r="C481" s="1" t="n">
        <v>46205</v>
      </c>
      <c r="D481" t="inlineStr">
        <is>
          <t>VÄSTRA GÖTALANDS LÄN</t>
        </is>
      </c>
      <c r="E481" t="inlineStr">
        <is>
          <t>MARK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7343-2023</t>
        </is>
      </c>
      <c r="B482" s="1" t="n">
        <v>44971</v>
      </c>
      <c r="C482" s="1" t="n">
        <v>46205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59151-2023</t>
        </is>
      </c>
      <c r="B483" s="1" t="n">
        <v>45251</v>
      </c>
      <c r="C483" s="1" t="n">
        <v>46205</v>
      </c>
      <c r="D483" t="inlineStr">
        <is>
          <t>VÄSTRA GÖTALANDS LÄN</t>
        </is>
      </c>
      <c r="E483" t="inlineStr">
        <is>
          <t>MARK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59163-2023</t>
        </is>
      </c>
      <c r="B484" s="1" t="n">
        <v>45251</v>
      </c>
      <c r="C484" s="1" t="n">
        <v>46205</v>
      </c>
      <c r="D484" t="inlineStr">
        <is>
          <t>VÄSTRA GÖTALANDS LÄN</t>
        </is>
      </c>
      <c r="E484" t="inlineStr">
        <is>
          <t>MARK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17086-2026</t>
        </is>
      </c>
      <c r="B485" s="1" t="n">
        <v>46114</v>
      </c>
      <c r="C485" s="1" t="n">
        <v>46205</v>
      </c>
      <c r="D485" t="inlineStr">
        <is>
          <t>VÄSTRA GÖTALANDS LÄN</t>
        </is>
      </c>
      <c r="E485" t="inlineStr">
        <is>
          <t>MARK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29366-2023</t>
        </is>
      </c>
      <c r="B486" s="1" t="n">
        <v>45106</v>
      </c>
      <c r="C486" s="1" t="n">
        <v>46205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29368-2023</t>
        </is>
      </c>
      <c r="B487" s="1" t="n">
        <v>45106</v>
      </c>
      <c r="C487" s="1" t="n">
        <v>46205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57411-2024</t>
        </is>
      </c>
      <c r="B488" s="1" t="n">
        <v>45629</v>
      </c>
      <c r="C488" s="1" t="n">
        <v>46205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23410-2026</t>
        </is>
      </c>
      <c r="B489" s="1" t="n">
        <v>46162</v>
      </c>
      <c r="C489" s="1" t="n">
        <v>46205</v>
      </c>
      <c r="D489" t="inlineStr">
        <is>
          <t>VÄSTRA GÖTALANDS LÄN</t>
        </is>
      </c>
      <c r="E489" t="inlineStr">
        <is>
          <t>MARK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2625-2022</t>
        </is>
      </c>
      <c r="B490" s="1" t="n">
        <v>44580</v>
      </c>
      <c r="C490" s="1" t="n">
        <v>46205</v>
      </c>
      <c r="D490" t="inlineStr">
        <is>
          <t>VÄSTRA GÖTALANDS LÄN</t>
        </is>
      </c>
      <c r="E490" t="inlineStr">
        <is>
          <t>MARK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22037-2024</t>
        </is>
      </c>
      <c r="B491" s="1" t="n">
        <v>45443</v>
      </c>
      <c r="C491" s="1" t="n">
        <v>46205</v>
      </c>
      <c r="D491" t="inlineStr">
        <is>
          <t>VÄSTRA GÖTALANDS LÄN</t>
        </is>
      </c>
      <c r="E491" t="inlineStr">
        <is>
          <t>MARK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8918-2023</t>
        </is>
      </c>
      <c r="B492" s="1" t="n">
        <v>44973</v>
      </c>
      <c r="C492" s="1" t="n">
        <v>46205</v>
      </c>
      <c r="D492" t="inlineStr">
        <is>
          <t>VÄSTRA GÖTALANDS LÄN</t>
        </is>
      </c>
      <c r="E492" t="inlineStr">
        <is>
          <t>MARK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7455-2022</t>
        </is>
      </c>
      <c r="B493" s="1" t="n">
        <v>44607</v>
      </c>
      <c r="C493" s="1" t="n">
        <v>46205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23598-2024</t>
        </is>
      </c>
      <c r="B494" s="1" t="n">
        <v>45454</v>
      </c>
      <c r="C494" s="1" t="n">
        <v>46205</v>
      </c>
      <c r="D494" t="inlineStr">
        <is>
          <t>VÄSTRA GÖTALANDS LÄN</t>
        </is>
      </c>
      <c r="E494" t="inlineStr">
        <is>
          <t>MARK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57128-2024</t>
        </is>
      </c>
      <c r="B495" s="1" t="n">
        <v>45629</v>
      </c>
      <c r="C495" s="1" t="n">
        <v>46205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6156-2022</t>
        </is>
      </c>
      <c r="B496" s="1" t="n">
        <v>44599</v>
      </c>
      <c r="C496" s="1" t="n">
        <v>46205</v>
      </c>
      <c r="D496" t="inlineStr">
        <is>
          <t>VÄSTRA GÖTALANDS LÄN</t>
        </is>
      </c>
      <c r="E496" t="inlineStr">
        <is>
          <t>MARK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3478-2022</t>
        </is>
      </c>
      <c r="B497" s="1" t="n">
        <v>44585</v>
      </c>
      <c r="C497" s="1" t="n">
        <v>46205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30753-2022</t>
        </is>
      </c>
      <c r="B498" s="1" t="n">
        <v>44764</v>
      </c>
      <c r="C498" s="1" t="n">
        <v>46205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8808-2024</t>
        </is>
      </c>
      <c r="B499" s="1" t="n">
        <v>45356</v>
      </c>
      <c r="C499" s="1" t="n">
        <v>46205</v>
      </c>
      <c r="D499" t="inlineStr">
        <is>
          <t>VÄSTRA GÖTALANDS LÄN</t>
        </is>
      </c>
      <c r="E499" t="inlineStr">
        <is>
          <t>MARK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8814-2024</t>
        </is>
      </c>
      <c r="B500" s="1" t="n">
        <v>45356</v>
      </c>
      <c r="C500" s="1" t="n">
        <v>46205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40557-2024</t>
        </is>
      </c>
      <c r="B501" s="1" t="n">
        <v>45555</v>
      </c>
      <c r="C501" s="1" t="n">
        <v>46205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18446-2026</t>
        </is>
      </c>
      <c r="B502" s="1" t="n">
        <v>46127</v>
      </c>
      <c r="C502" s="1" t="n">
        <v>46205</v>
      </c>
      <c r="D502" t="inlineStr">
        <is>
          <t>VÄSTRA GÖTALANDS LÄN</t>
        </is>
      </c>
      <c r="E502" t="inlineStr">
        <is>
          <t>MARK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24298-2026</t>
        </is>
      </c>
      <c r="B503" s="1" t="n">
        <v>46169</v>
      </c>
      <c r="C503" s="1" t="n">
        <v>46205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5467-2024</t>
        </is>
      </c>
      <c r="B504" s="1" t="n">
        <v>45332</v>
      </c>
      <c r="C504" s="1" t="n">
        <v>46205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44249-2023</t>
        </is>
      </c>
      <c r="B505" s="1" t="n">
        <v>45188</v>
      </c>
      <c r="C505" s="1" t="n">
        <v>46205</v>
      </c>
      <c r="D505" t="inlineStr">
        <is>
          <t>VÄSTRA GÖTALANDS LÄN</t>
        </is>
      </c>
      <c r="E505" t="inlineStr">
        <is>
          <t>MARK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57779-2024</t>
        </is>
      </c>
      <c r="B506" s="1" t="n">
        <v>45631</v>
      </c>
      <c r="C506" s="1" t="n">
        <v>46205</v>
      </c>
      <c r="D506" t="inlineStr">
        <is>
          <t>VÄSTRA GÖTALANDS LÄN</t>
        </is>
      </c>
      <c r="E506" t="inlineStr">
        <is>
          <t>MARK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4143-2022</t>
        </is>
      </c>
      <c r="B507" s="1" t="n">
        <v>44588</v>
      </c>
      <c r="C507" s="1" t="n">
        <v>46205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44610-2023</t>
        </is>
      </c>
      <c r="B508" s="1" t="n">
        <v>45189</v>
      </c>
      <c r="C508" s="1" t="n">
        <v>46205</v>
      </c>
      <c r="D508" t="inlineStr">
        <is>
          <t>VÄSTRA GÖTALANDS LÄN</t>
        </is>
      </c>
      <c r="E508" t="inlineStr">
        <is>
          <t>MARK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13553-2022</t>
        </is>
      </c>
      <c r="B509" s="1" t="n">
        <v>44648</v>
      </c>
      <c r="C509" s="1" t="n">
        <v>46205</v>
      </c>
      <c r="D509" t="inlineStr">
        <is>
          <t>VÄSTRA GÖTALANDS LÄN</t>
        </is>
      </c>
      <c r="E509" t="inlineStr">
        <is>
          <t>MARK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43477-2025</t>
        </is>
      </c>
      <c r="B510" s="1" t="n">
        <v>45911</v>
      </c>
      <c r="C510" s="1" t="n">
        <v>46205</v>
      </c>
      <c r="D510" t="inlineStr">
        <is>
          <t>VÄSTRA GÖTALANDS LÄN</t>
        </is>
      </c>
      <c r="E510" t="inlineStr">
        <is>
          <t>MARK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52700-2023</t>
        </is>
      </c>
      <c r="B511" s="1" t="n">
        <v>45225</v>
      </c>
      <c r="C511" s="1" t="n">
        <v>46205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24449-2023</t>
        </is>
      </c>
      <c r="B512" s="1" t="n">
        <v>45076</v>
      </c>
      <c r="C512" s="1" t="n">
        <v>46205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18600-2025</t>
        </is>
      </c>
      <c r="B513" s="1" t="n">
        <v>45763</v>
      </c>
      <c r="C513" s="1" t="n">
        <v>46205</v>
      </c>
      <c r="D513" t="inlineStr">
        <is>
          <t>VÄSTRA GÖTALANDS LÄN</t>
        </is>
      </c>
      <c r="E513" t="inlineStr">
        <is>
          <t>MARK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23865-2024</t>
        </is>
      </c>
      <c r="B514" s="1" t="n">
        <v>45455</v>
      </c>
      <c r="C514" s="1" t="n">
        <v>46205</v>
      </c>
      <c r="D514" t="inlineStr">
        <is>
          <t>VÄSTRA GÖTALANDS LÄN</t>
        </is>
      </c>
      <c r="E514" t="inlineStr">
        <is>
          <t>MARK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25277-2026</t>
        </is>
      </c>
      <c r="B515" s="1" t="n">
        <v>46176</v>
      </c>
      <c r="C515" s="1" t="n">
        <v>46205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19653-2026</t>
        </is>
      </c>
      <c r="B516" s="1" t="n">
        <v>46134</v>
      </c>
      <c r="C516" s="1" t="n">
        <v>46205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45583-2023</t>
        </is>
      </c>
      <c r="B517" s="1" t="n">
        <v>45194</v>
      </c>
      <c r="C517" s="1" t="n">
        <v>46205</v>
      </c>
      <c r="D517" t="inlineStr">
        <is>
          <t>VÄSTRA GÖTALANDS LÄN</t>
        </is>
      </c>
      <c r="E517" t="inlineStr">
        <is>
          <t>MARK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54846-2023</t>
        </is>
      </c>
      <c r="B518" s="1" t="n">
        <v>45236</v>
      </c>
      <c r="C518" s="1" t="n">
        <v>46205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22246-2023</t>
        </is>
      </c>
      <c r="B519" s="1" t="n">
        <v>45070</v>
      </c>
      <c r="C519" s="1" t="n">
        <v>46205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27714-2023</t>
        </is>
      </c>
      <c r="B520" s="1" t="n">
        <v>45098</v>
      </c>
      <c r="C520" s="1" t="n">
        <v>46205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27725-2023</t>
        </is>
      </c>
      <c r="B521" s="1" t="n">
        <v>45098</v>
      </c>
      <c r="C521" s="1" t="n">
        <v>46205</v>
      </c>
      <c r="D521" t="inlineStr">
        <is>
          <t>VÄSTRA GÖTALANDS LÄN</t>
        </is>
      </c>
      <c r="E521" t="inlineStr">
        <is>
          <t>MARK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16984-2025</t>
        </is>
      </c>
      <c r="B522" s="1" t="n">
        <v>45755</v>
      </c>
      <c r="C522" s="1" t="n">
        <v>46205</v>
      </c>
      <c r="D522" t="inlineStr">
        <is>
          <t>VÄSTRA GÖTALANDS LÄN</t>
        </is>
      </c>
      <c r="E522" t="inlineStr">
        <is>
          <t>MARK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43922-2024</t>
        </is>
      </c>
      <c r="B523" s="1" t="n">
        <v>45572</v>
      </c>
      <c r="C523" s="1" t="n">
        <v>46205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53979-2023</t>
        </is>
      </c>
      <c r="B524" s="1" t="n">
        <v>45231</v>
      </c>
      <c r="C524" s="1" t="n">
        <v>46205</v>
      </c>
      <c r="D524" t="inlineStr">
        <is>
          <t>VÄSTRA GÖTALANDS LÄN</t>
        </is>
      </c>
      <c r="E524" t="inlineStr">
        <is>
          <t>MARK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25911-2022</t>
        </is>
      </c>
      <c r="B525" s="1" t="n">
        <v>44734</v>
      </c>
      <c r="C525" s="1" t="n">
        <v>46205</v>
      </c>
      <c r="D525" t="inlineStr">
        <is>
          <t>VÄSTRA GÖTALANDS LÄN</t>
        </is>
      </c>
      <c r="E525" t="inlineStr">
        <is>
          <t>MARK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10583-2022</t>
        </is>
      </c>
      <c r="B526" s="1" t="n">
        <v>44624</v>
      </c>
      <c r="C526" s="1" t="n">
        <v>46205</v>
      </c>
      <c r="D526" t="inlineStr">
        <is>
          <t>VÄSTRA GÖTALANDS LÄN</t>
        </is>
      </c>
      <c r="E526" t="inlineStr">
        <is>
          <t>MARK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46450-2023</t>
        </is>
      </c>
      <c r="B527" s="1" t="n">
        <v>45197</v>
      </c>
      <c r="C527" s="1" t="n">
        <v>46205</v>
      </c>
      <c r="D527" t="inlineStr">
        <is>
          <t>VÄSTRA GÖTALANDS LÄN</t>
        </is>
      </c>
      <c r="E527" t="inlineStr">
        <is>
          <t>MARK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8977-2025</t>
        </is>
      </c>
      <c r="B528" s="1" t="n">
        <v>45713</v>
      </c>
      <c r="C528" s="1" t="n">
        <v>46205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36786-2023</t>
        </is>
      </c>
      <c r="B529" s="1" t="n">
        <v>45154</v>
      </c>
      <c r="C529" s="1" t="n">
        <v>46205</v>
      </c>
      <c r="D529" t="inlineStr">
        <is>
          <t>VÄSTRA GÖTALANDS LÄN</t>
        </is>
      </c>
      <c r="E529" t="inlineStr">
        <is>
          <t>MARK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43404-2024</t>
        </is>
      </c>
      <c r="B530" s="1" t="n">
        <v>45568</v>
      </c>
      <c r="C530" s="1" t="n">
        <v>46205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43293-2023</t>
        </is>
      </c>
      <c r="B531" s="1" t="n">
        <v>45183</v>
      </c>
      <c r="C531" s="1" t="n">
        <v>46205</v>
      </c>
      <c r="D531" t="inlineStr">
        <is>
          <t>VÄSTRA GÖTALANDS LÄN</t>
        </is>
      </c>
      <c r="E531" t="inlineStr">
        <is>
          <t>MARK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44001-2022</t>
        </is>
      </c>
      <c r="B532" s="1" t="n">
        <v>44838</v>
      </c>
      <c r="C532" s="1" t="n">
        <v>46205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21587-2023</t>
        </is>
      </c>
      <c r="B533" s="1" t="n">
        <v>45063</v>
      </c>
      <c r="C533" s="1" t="n">
        <v>46205</v>
      </c>
      <c r="D533" t="inlineStr">
        <is>
          <t>VÄSTRA GÖTALANDS LÄN</t>
        </is>
      </c>
      <c r="E533" t="inlineStr">
        <is>
          <t>MARK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34163-2023</t>
        </is>
      </c>
      <c r="B534" s="1" t="n">
        <v>45137</v>
      </c>
      <c r="C534" s="1" t="n">
        <v>46205</v>
      </c>
      <c r="D534" t="inlineStr">
        <is>
          <t>VÄSTRA GÖTALANDS LÄN</t>
        </is>
      </c>
      <c r="E534" t="inlineStr">
        <is>
          <t>MARK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56905-2023</t>
        </is>
      </c>
      <c r="B535" s="1" t="n">
        <v>45244</v>
      </c>
      <c r="C535" s="1" t="n">
        <v>46205</v>
      </c>
      <c r="D535" t="inlineStr">
        <is>
          <t>VÄSTRA GÖTALANDS LÄN</t>
        </is>
      </c>
      <c r="E535" t="inlineStr">
        <is>
          <t>MARK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28020-2025</t>
        </is>
      </c>
      <c r="B536" s="1" t="n">
        <v>45817</v>
      </c>
      <c r="C536" s="1" t="n">
        <v>46205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22918-2022</t>
        </is>
      </c>
      <c r="B537" s="1" t="n">
        <v>44715</v>
      </c>
      <c r="C537" s="1" t="n">
        <v>46205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18280-2024</t>
        </is>
      </c>
      <c r="B538" s="1" t="n">
        <v>45422</v>
      </c>
      <c r="C538" s="1" t="n">
        <v>46205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23243-2025</t>
        </is>
      </c>
      <c r="B539" s="1" t="n">
        <v>45791</v>
      </c>
      <c r="C539" s="1" t="n">
        <v>46205</v>
      </c>
      <c r="D539" t="inlineStr">
        <is>
          <t>VÄSTRA GÖTALANDS LÄN</t>
        </is>
      </c>
      <c r="E539" t="inlineStr">
        <is>
          <t>MARK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61486-2021</t>
        </is>
      </c>
      <c r="B540" s="1" t="n">
        <v>44501</v>
      </c>
      <c r="C540" s="1" t="n">
        <v>46205</v>
      </c>
      <c r="D540" t="inlineStr">
        <is>
          <t>VÄSTRA GÖTALANDS LÄN</t>
        </is>
      </c>
      <c r="E540" t="inlineStr">
        <is>
          <t>MARK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25969-2026</t>
        </is>
      </c>
      <c r="B541" s="1" t="n">
        <v>46181</v>
      </c>
      <c r="C541" s="1" t="n">
        <v>46205</v>
      </c>
      <c r="D541" t="inlineStr">
        <is>
          <t>VÄSTRA GÖTALANDS LÄN</t>
        </is>
      </c>
      <c r="E541" t="inlineStr">
        <is>
          <t>MARK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27471-2024</t>
        </is>
      </c>
      <c r="B542" s="1" t="n">
        <v>45474</v>
      </c>
      <c r="C542" s="1" t="n">
        <v>46205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23819-2026</t>
        </is>
      </c>
      <c r="B543" s="1" t="n">
        <v>46165</v>
      </c>
      <c r="C543" s="1" t="n">
        <v>46205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17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28640-2025</t>
        </is>
      </c>
      <c r="B544" s="1" t="n">
        <v>45819</v>
      </c>
      <c r="C544" s="1" t="n">
        <v>46205</v>
      </c>
      <c r="D544" t="inlineStr">
        <is>
          <t>VÄSTRA GÖTALANDS LÄN</t>
        </is>
      </c>
      <c r="E544" t="inlineStr">
        <is>
          <t>MARK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26241-2026</t>
        </is>
      </c>
      <c r="B545" s="1" t="n">
        <v>46182</v>
      </c>
      <c r="C545" s="1" t="n">
        <v>46205</v>
      </c>
      <c r="D545" t="inlineStr">
        <is>
          <t>VÄSTRA GÖTALANDS LÄN</t>
        </is>
      </c>
      <c r="E545" t="inlineStr">
        <is>
          <t>MARK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36374-2025</t>
        </is>
      </c>
      <c r="B546" s="1" t="n">
        <v>45868</v>
      </c>
      <c r="C546" s="1" t="n">
        <v>46205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59175-2024</t>
        </is>
      </c>
      <c r="B547" s="1" t="n">
        <v>45637</v>
      </c>
      <c r="C547" s="1" t="n">
        <v>46205</v>
      </c>
      <c r="D547" t="inlineStr">
        <is>
          <t>VÄSTRA GÖTALANDS LÄN</t>
        </is>
      </c>
      <c r="E547" t="inlineStr">
        <is>
          <t>MARK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27138-2025</t>
        </is>
      </c>
      <c r="B548" s="1" t="n">
        <v>45811</v>
      </c>
      <c r="C548" s="1" t="n">
        <v>46205</v>
      </c>
      <c r="D548" t="inlineStr">
        <is>
          <t>VÄSTRA GÖTALANDS LÄN</t>
        </is>
      </c>
      <c r="E548" t="inlineStr">
        <is>
          <t>MARK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29529-2025</t>
        </is>
      </c>
      <c r="B549" s="1" t="n">
        <v>45825</v>
      </c>
      <c r="C549" s="1" t="n">
        <v>46205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59156-2023</t>
        </is>
      </c>
      <c r="B550" s="1" t="n">
        <v>45251</v>
      </c>
      <c r="C550" s="1" t="n">
        <v>46205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45025-2025</t>
        </is>
      </c>
      <c r="B551" s="1" t="n">
        <v>45918</v>
      </c>
      <c r="C551" s="1" t="n">
        <v>46205</v>
      </c>
      <c r="D551" t="inlineStr">
        <is>
          <t>VÄSTRA GÖTALANDS LÄN</t>
        </is>
      </c>
      <c r="E551" t="inlineStr">
        <is>
          <t>MARK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604-2024</t>
        </is>
      </c>
      <c r="B552" s="1" t="n">
        <v>45299</v>
      </c>
      <c r="C552" s="1" t="n">
        <v>46205</v>
      </c>
      <c r="D552" t="inlineStr">
        <is>
          <t>VÄSTRA GÖTALANDS LÄN</t>
        </is>
      </c>
      <c r="E552" t="inlineStr">
        <is>
          <t>MARK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11518-2024</t>
        </is>
      </c>
      <c r="B553" s="1" t="n">
        <v>45373</v>
      </c>
      <c r="C553" s="1" t="n">
        <v>46205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1176-2023</t>
        </is>
      </c>
      <c r="B554" s="1" t="n">
        <v>44935</v>
      </c>
      <c r="C554" s="1" t="n">
        <v>46205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16159-2025</t>
        </is>
      </c>
      <c r="B555" s="1" t="n">
        <v>45750</v>
      </c>
      <c r="C555" s="1" t="n">
        <v>46205</v>
      </c>
      <c r="D555" t="inlineStr">
        <is>
          <t>VÄSTRA GÖTALANDS LÄN</t>
        </is>
      </c>
      <c r="E555" t="inlineStr">
        <is>
          <t>MARK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55689-2022</t>
        </is>
      </c>
      <c r="B556" s="1" t="n">
        <v>44888</v>
      </c>
      <c r="C556" s="1" t="n">
        <v>46205</v>
      </c>
      <c r="D556" t="inlineStr">
        <is>
          <t>VÄSTRA GÖTALANDS LÄN</t>
        </is>
      </c>
      <c r="E556" t="inlineStr">
        <is>
          <t>MARK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12429-2024</t>
        </is>
      </c>
      <c r="B557" s="1" t="n">
        <v>45379</v>
      </c>
      <c r="C557" s="1" t="n">
        <v>46205</v>
      </c>
      <c r="D557" t="inlineStr">
        <is>
          <t>VÄSTRA GÖTALANDS LÄN</t>
        </is>
      </c>
      <c r="E557" t="inlineStr">
        <is>
          <t>MARK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18701-2025</t>
        </is>
      </c>
      <c r="B558" s="1" t="n">
        <v>45763</v>
      </c>
      <c r="C558" s="1" t="n">
        <v>46205</v>
      </c>
      <c r="D558" t="inlineStr">
        <is>
          <t>VÄSTRA GÖTALANDS LÄN</t>
        </is>
      </c>
      <c r="E558" t="inlineStr">
        <is>
          <t>MARK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8812-2024</t>
        </is>
      </c>
      <c r="B559" s="1" t="n">
        <v>45356</v>
      </c>
      <c r="C559" s="1" t="n">
        <v>46205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17003-2025</t>
        </is>
      </c>
      <c r="B560" s="1" t="n">
        <v>45755</v>
      </c>
      <c r="C560" s="1" t="n">
        <v>46205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17006-2025</t>
        </is>
      </c>
      <c r="B561" s="1" t="n">
        <v>45755</v>
      </c>
      <c r="C561" s="1" t="n">
        <v>46205</v>
      </c>
      <c r="D561" t="inlineStr">
        <is>
          <t>VÄSTRA GÖTALANDS LÄN</t>
        </is>
      </c>
      <c r="E561" t="inlineStr">
        <is>
          <t>MARK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10469-2023</t>
        </is>
      </c>
      <c r="B562" s="1" t="n">
        <v>44987</v>
      </c>
      <c r="C562" s="1" t="n">
        <v>46205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36979-2021</t>
        </is>
      </c>
      <c r="B563" s="1" t="n">
        <v>44393</v>
      </c>
      <c r="C563" s="1" t="n">
        <v>46205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64731-2023</t>
        </is>
      </c>
      <c r="B564" s="1" t="n">
        <v>45281</v>
      </c>
      <c r="C564" s="1" t="n">
        <v>46205</v>
      </c>
      <c r="D564" t="inlineStr">
        <is>
          <t>VÄSTRA GÖTALANDS LÄN</t>
        </is>
      </c>
      <c r="E564" t="inlineStr">
        <is>
          <t>MARK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61417-2023</t>
        </is>
      </c>
      <c r="B565" s="1" t="n">
        <v>45264</v>
      </c>
      <c r="C565" s="1" t="n">
        <v>46205</v>
      </c>
      <c r="D565" t="inlineStr">
        <is>
          <t>VÄSTRA GÖTALANDS LÄN</t>
        </is>
      </c>
      <c r="E565" t="inlineStr">
        <is>
          <t>MARK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58497-2023</t>
        </is>
      </c>
      <c r="B566" s="1" t="n">
        <v>45251</v>
      </c>
      <c r="C566" s="1" t="n">
        <v>46205</v>
      </c>
      <c r="D566" t="inlineStr">
        <is>
          <t>VÄSTRA GÖTALANDS LÄN</t>
        </is>
      </c>
      <c r="E566" t="inlineStr">
        <is>
          <t>MARK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4011-2025</t>
        </is>
      </c>
      <c r="B567" s="1" t="n">
        <v>45684</v>
      </c>
      <c r="C567" s="1" t="n">
        <v>46205</v>
      </c>
      <c r="D567" t="inlineStr">
        <is>
          <t>VÄSTRA GÖTALANDS LÄN</t>
        </is>
      </c>
      <c r="E567" t="inlineStr">
        <is>
          <t>MARK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6980-2024</t>
        </is>
      </c>
      <c r="B568" s="1" t="n">
        <v>45343</v>
      </c>
      <c r="C568" s="1" t="n">
        <v>46205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14749-2024</t>
        </is>
      </c>
      <c r="B569" s="1" t="n">
        <v>45397</v>
      </c>
      <c r="C569" s="1" t="n">
        <v>46205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59605-2023</t>
        </is>
      </c>
      <c r="B570" s="1" t="n">
        <v>45254</v>
      </c>
      <c r="C570" s="1" t="n">
        <v>46205</v>
      </c>
      <c r="D570" t="inlineStr">
        <is>
          <t>VÄSTRA GÖTALANDS LÄN</t>
        </is>
      </c>
      <c r="E570" t="inlineStr">
        <is>
          <t>MARK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53529-2023</t>
        </is>
      </c>
      <c r="B571" s="1" t="n">
        <v>45230</v>
      </c>
      <c r="C571" s="1" t="n">
        <v>46205</v>
      </c>
      <c r="D571" t="inlineStr">
        <is>
          <t>VÄSTRA GÖTALANDS LÄN</t>
        </is>
      </c>
      <c r="E571" t="inlineStr">
        <is>
          <t>MARK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19185-2024</t>
        </is>
      </c>
      <c r="B572" s="1" t="n">
        <v>45428</v>
      </c>
      <c r="C572" s="1" t="n">
        <v>46205</v>
      </c>
      <c r="D572" t="inlineStr">
        <is>
          <t>VÄSTRA GÖTALANDS LÄN</t>
        </is>
      </c>
      <c r="E572" t="inlineStr">
        <is>
          <t>MARK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34167-2023</t>
        </is>
      </c>
      <c r="B573" s="1" t="n">
        <v>45137</v>
      </c>
      <c r="C573" s="1" t="n">
        <v>46205</v>
      </c>
      <c r="D573" t="inlineStr">
        <is>
          <t>VÄSTRA GÖTALANDS LÄN</t>
        </is>
      </c>
      <c r="E573" t="inlineStr">
        <is>
          <t>MARK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39601-2024</t>
        </is>
      </c>
      <c r="B574" s="1" t="n">
        <v>45552</v>
      </c>
      <c r="C574" s="1" t="n">
        <v>46205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57766-2022</t>
        </is>
      </c>
      <c r="B575" s="1" t="n">
        <v>44897</v>
      </c>
      <c r="C575" s="1" t="n">
        <v>46205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50986-2021</t>
        </is>
      </c>
      <c r="B576" s="1" t="n">
        <v>44460</v>
      </c>
      <c r="C576" s="1" t="n">
        <v>46205</v>
      </c>
      <c r="D576" t="inlineStr">
        <is>
          <t>VÄSTRA GÖTALANDS LÄN</t>
        </is>
      </c>
      <c r="E576" t="inlineStr">
        <is>
          <t>MARK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1068-2023</t>
        </is>
      </c>
      <c r="B577" s="1" t="n">
        <v>44935</v>
      </c>
      <c r="C577" s="1" t="n">
        <v>46205</v>
      </c>
      <c r="D577" t="inlineStr">
        <is>
          <t>VÄSTRA GÖTALANDS LÄN</t>
        </is>
      </c>
      <c r="E577" t="inlineStr">
        <is>
          <t>MARK</t>
        </is>
      </c>
      <c r="G577" t="n">
        <v>26.5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21214-2026</t>
        </is>
      </c>
      <c r="B578" s="1" t="n">
        <v>46146</v>
      </c>
      <c r="C578" s="1" t="n">
        <v>46205</v>
      </c>
      <c r="D578" t="inlineStr">
        <is>
          <t>VÄSTRA GÖTALANDS LÄN</t>
        </is>
      </c>
      <c r="E578" t="inlineStr">
        <is>
          <t>MARK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43350-2021</t>
        </is>
      </c>
      <c r="B579" s="1" t="n">
        <v>44432</v>
      </c>
      <c r="C579" s="1" t="n">
        <v>46205</v>
      </c>
      <c r="D579" t="inlineStr">
        <is>
          <t>VÄSTRA GÖTALANDS LÄN</t>
        </is>
      </c>
      <c r="E579" t="inlineStr">
        <is>
          <t>MARK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8403-2022</t>
        </is>
      </c>
      <c r="B580" s="1" t="n">
        <v>44610</v>
      </c>
      <c r="C580" s="1" t="n">
        <v>46205</v>
      </c>
      <c r="D580" t="inlineStr">
        <is>
          <t>VÄSTRA GÖTALANDS LÄN</t>
        </is>
      </c>
      <c r="E580" t="inlineStr">
        <is>
          <t>MARK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19608-2024</t>
        </is>
      </c>
      <c r="B581" s="1" t="n">
        <v>45432</v>
      </c>
      <c r="C581" s="1" t="n">
        <v>46205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27579-2026</t>
        </is>
      </c>
      <c r="B582" s="1" t="n">
        <v>46190</v>
      </c>
      <c r="C582" s="1" t="n">
        <v>46205</v>
      </c>
      <c r="D582" t="inlineStr">
        <is>
          <t>VÄSTRA GÖTALANDS LÄN</t>
        </is>
      </c>
      <c r="E582" t="inlineStr">
        <is>
          <t>MARK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27451-2026</t>
        </is>
      </c>
      <c r="B583" s="1" t="n">
        <v>46189</v>
      </c>
      <c r="C583" s="1" t="n">
        <v>46205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7134-2022</t>
        </is>
      </c>
      <c r="B584" s="1" t="n">
        <v>44603</v>
      </c>
      <c r="C584" s="1" t="n">
        <v>46205</v>
      </c>
      <c r="D584" t="inlineStr">
        <is>
          <t>VÄSTRA GÖTALANDS LÄN</t>
        </is>
      </c>
      <c r="E584" t="inlineStr">
        <is>
          <t>MARK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9017-2022</t>
        </is>
      </c>
      <c r="B585" s="1" t="n">
        <v>44615</v>
      </c>
      <c r="C585" s="1" t="n">
        <v>46205</v>
      </c>
      <c r="D585" t="inlineStr">
        <is>
          <t>VÄSTRA GÖTALANDS LÄN</t>
        </is>
      </c>
      <c r="E585" t="inlineStr">
        <is>
          <t>MARK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27675-2026</t>
        </is>
      </c>
      <c r="B586" s="1" t="n">
        <v>46190</v>
      </c>
      <c r="C586" s="1" t="n">
        <v>46205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10669-2024</t>
        </is>
      </c>
      <c r="B587" s="1" t="n">
        <v>45369</v>
      </c>
      <c r="C587" s="1" t="n">
        <v>46205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21710-2026</t>
        </is>
      </c>
      <c r="B588" s="1" t="n">
        <v>46147</v>
      </c>
      <c r="C588" s="1" t="n">
        <v>46205</v>
      </c>
      <c r="D588" t="inlineStr">
        <is>
          <t>VÄSTRA GÖTALANDS LÄN</t>
        </is>
      </c>
      <c r="E588" t="inlineStr">
        <is>
          <t>MARK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27768-2024</t>
        </is>
      </c>
      <c r="B589" s="1" t="n">
        <v>45475</v>
      </c>
      <c r="C589" s="1" t="n">
        <v>46205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4131-2022</t>
        </is>
      </c>
      <c r="B590" s="1" t="n">
        <v>44588</v>
      </c>
      <c r="C590" s="1" t="n">
        <v>46205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4136-2022</t>
        </is>
      </c>
      <c r="B591" s="1" t="n">
        <v>44588</v>
      </c>
      <c r="C591" s="1" t="n">
        <v>46205</v>
      </c>
      <c r="D591" t="inlineStr">
        <is>
          <t>VÄSTRA GÖTALANDS LÄN</t>
        </is>
      </c>
      <c r="E591" t="inlineStr">
        <is>
          <t>MARK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35728-2023</t>
        </is>
      </c>
      <c r="B592" s="1" t="n">
        <v>45147</v>
      </c>
      <c r="C592" s="1" t="n">
        <v>46205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27927-2026</t>
        </is>
      </c>
      <c r="B593" s="1" t="n">
        <v>46191</v>
      </c>
      <c r="C593" s="1" t="n">
        <v>46205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27720-2026</t>
        </is>
      </c>
      <c r="B594" s="1" t="n">
        <v>46191</v>
      </c>
      <c r="C594" s="1" t="n">
        <v>46205</v>
      </c>
      <c r="D594" t="inlineStr">
        <is>
          <t>VÄSTRA GÖTALANDS LÄN</t>
        </is>
      </c>
      <c r="E594" t="inlineStr">
        <is>
          <t>MARK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1600-2023</t>
        </is>
      </c>
      <c r="B595" s="1" t="n">
        <v>44937</v>
      </c>
      <c r="C595" s="1" t="n">
        <v>46205</v>
      </c>
      <c r="D595" t="inlineStr">
        <is>
          <t>VÄSTRA GÖTALANDS LÄN</t>
        </is>
      </c>
      <c r="E595" t="inlineStr">
        <is>
          <t>MARK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7628-2024</t>
        </is>
      </c>
      <c r="B596" s="1" t="n">
        <v>45348</v>
      </c>
      <c r="C596" s="1" t="n">
        <v>46205</v>
      </c>
      <c r="D596" t="inlineStr">
        <is>
          <t>VÄSTRA GÖTALANDS LÄN</t>
        </is>
      </c>
      <c r="E596" t="inlineStr">
        <is>
          <t>MARK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5465-2024</t>
        </is>
      </c>
      <c r="B597" s="1" t="n">
        <v>45332</v>
      </c>
      <c r="C597" s="1" t="n">
        <v>46205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49408-2024</t>
        </is>
      </c>
      <c r="B598" s="1" t="n">
        <v>45595</v>
      </c>
      <c r="C598" s="1" t="n">
        <v>46205</v>
      </c>
      <c r="D598" t="inlineStr">
        <is>
          <t>VÄSTRA GÖTALANDS LÄN</t>
        </is>
      </c>
      <c r="E598" t="inlineStr">
        <is>
          <t>MARK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28172-2026</t>
        </is>
      </c>
      <c r="B599" s="1" t="n">
        <v>46195</v>
      </c>
      <c r="C599" s="1" t="n">
        <v>46205</v>
      </c>
      <c r="D599" t="inlineStr">
        <is>
          <t>VÄSTRA GÖTALANDS LÄN</t>
        </is>
      </c>
      <c r="E599" t="inlineStr">
        <is>
          <t>MARK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22123-2026</t>
        </is>
      </c>
      <c r="B600" s="1" t="n">
        <v>46153</v>
      </c>
      <c r="C600" s="1" t="n">
        <v>46205</v>
      </c>
      <c r="D600" t="inlineStr">
        <is>
          <t>VÄSTRA GÖTALANDS LÄN</t>
        </is>
      </c>
      <c r="E600" t="inlineStr">
        <is>
          <t>MARK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30381-2022</t>
        </is>
      </c>
      <c r="B601" s="1" t="n">
        <v>44760</v>
      </c>
      <c r="C601" s="1" t="n">
        <v>46205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11575-2022</t>
        </is>
      </c>
      <c r="B602" s="1" t="n">
        <v>44631</v>
      </c>
      <c r="C602" s="1" t="n">
        <v>46205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28074-2026</t>
        </is>
      </c>
      <c r="B603" s="1" t="n">
        <v>46195</v>
      </c>
      <c r="C603" s="1" t="n">
        <v>46205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28020-2026</t>
        </is>
      </c>
      <c r="B604" s="1" t="n">
        <v>46195</v>
      </c>
      <c r="C604" s="1" t="n">
        <v>46205</v>
      </c>
      <c r="D604" t="inlineStr">
        <is>
          <t>VÄSTRA GÖTALANDS LÄN</t>
        </is>
      </c>
      <c r="E604" t="inlineStr">
        <is>
          <t>MARK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28086-2026</t>
        </is>
      </c>
      <c r="B605" s="1" t="n">
        <v>46195</v>
      </c>
      <c r="C605" s="1" t="n">
        <v>46205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11655-2023</t>
        </is>
      </c>
      <c r="B606" s="1" t="n">
        <v>44994</v>
      </c>
      <c r="C606" s="1" t="n">
        <v>46205</v>
      </c>
      <c r="D606" t="inlineStr">
        <is>
          <t>VÄSTRA GÖTALANDS LÄN</t>
        </is>
      </c>
      <c r="E606" t="inlineStr">
        <is>
          <t>MARK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28125-2026</t>
        </is>
      </c>
      <c r="B607" s="1" t="n">
        <v>46195</v>
      </c>
      <c r="C607" s="1" t="n">
        <v>46205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14426-2022</t>
        </is>
      </c>
      <c r="B608" s="1" t="n">
        <v>44652</v>
      </c>
      <c r="C608" s="1" t="n">
        <v>46205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28014-2026</t>
        </is>
      </c>
      <c r="B609" s="1" t="n">
        <v>46195</v>
      </c>
      <c r="C609" s="1" t="n">
        <v>46205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22914-2022</t>
        </is>
      </c>
      <c r="B610" s="1" t="n">
        <v>44715</v>
      </c>
      <c r="C610" s="1" t="n">
        <v>46205</v>
      </c>
      <c r="D610" t="inlineStr">
        <is>
          <t>VÄSTRA GÖTALANDS LÄN</t>
        </is>
      </c>
      <c r="E610" t="inlineStr">
        <is>
          <t>MARK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9559-2023</t>
        </is>
      </c>
      <c r="B611" s="1" t="n">
        <v>44982</v>
      </c>
      <c r="C611" s="1" t="n">
        <v>46205</v>
      </c>
      <c r="D611" t="inlineStr">
        <is>
          <t>VÄSTRA GÖTALANDS LÄN</t>
        </is>
      </c>
      <c r="E611" t="inlineStr">
        <is>
          <t>MARK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28628-2026</t>
        </is>
      </c>
      <c r="B612" s="1" t="n">
        <v>46198</v>
      </c>
      <c r="C612" s="1" t="n">
        <v>46205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4800-2025</t>
        </is>
      </c>
      <c r="B613" s="1" t="n">
        <v>45688</v>
      </c>
      <c r="C613" s="1" t="n">
        <v>46205</v>
      </c>
      <c r="D613" t="inlineStr">
        <is>
          <t>VÄSTRA GÖTALANDS LÄN</t>
        </is>
      </c>
      <c r="E613" t="inlineStr">
        <is>
          <t>MARK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28000-2026</t>
        </is>
      </c>
      <c r="B614" s="1" t="n">
        <v>46195</v>
      </c>
      <c r="C614" s="1" t="n">
        <v>46205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28009-2026</t>
        </is>
      </c>
      <c r="B615" s="1" t="n">
        <v>46195</v>
      </c>
      <c r="C615" s="1" t="n">
        <v>46205</v>
      </c>
      <c r="D615" t="inlineStr">
        <is>
          <t>VÄSTRA GÖTALANDS LÄN</t>
        </is>
      </c>
      <c r="E615" t="inlineStr">
        <is>
          <t>MARK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16988-2025</t>
        </is>
      </c>
      <c r="B616" s="1" t="n">
        <v>45755</v>
      </c>
      <c r="C616" s="1" t="n">
        <v>46205</v>
      </c>
      <c r="D616" t="inlineStr">
        <is>
          <t>VÄSTRA GÖTALANDS LÄN</t>
        </is>
      </c>
      <c r="E616" t="inlineStr">
        <is>
          <t>MARK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11414-2022</t>
        </is>
      </c>
      <c r="B617" s="1" t="n">
        <v>44630</v>
      </c>
      <c r="C617" s="1" t="n">
        <v>46205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8856-2023</t>
        </is>
      </c>
      <c r="B618" s="1" t="n">
        <v>44978</v>
      </c>
      <c r="C618" s="1" t="n">
        <v>46205</v>
      </c>
      <c r="D618" t="inlineStr">
        <is>
          <t>VÄSTRA GÖTALANDS LÄN</t>
        </is>
      </c>
      <c r="E618" t="inlineStr">
        <is>
          <t>MARK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10890-2024</t>
        </is>
      </c>
      <c r="B619" s="1" t="n">
        <v>45370</v>
      </c>
      <c r="C619" s="1" t="n">
        <v>46205</v>
      </c>
      <c r="D619" t="inlineStr">
        <is>
          <t>VÄSTRA GÖTALANDS LÄN</t>
        </is>
      </c>
      <c r="E619" t="inlineStr">
        <is>
          <t>MARK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5871-2023</t>
        </is>
      </c>
      <c r="B620" s="1" t="n">
        <v>44963</v>
      </c>
      <c r="C620" s="1" t="n">
        <v>46205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27409-2024</t>
        </is>
      </c>
      <c r="B621" s="1" t="n">
        <v>45474</v>
      </c>
      <c r="C621" s="1" t="n">
        <v>46205</v>
      </c>
      <c r="D621" t="inlineStr">
        <is>
          <t>VÄSTRA GÖTALANDS LÄN</t>
        </is>
      </c>
      <c r="E621" t="inlineStr">
        <is>
          <t>MARK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33899-2023</t>
        </is>
      </c>
      <c r="B622" s="1" t="n">
        <v>45134</v>
      </c>
      <c r="C622" s="1" t="n">
        <v>46205</v>
      </c>
      <c r="D622" t="inlineStr">
        <is>
          <t>VÄSTRA GÖTALANDS LÄN</t>
        </is>
      </c>
      <c r="E622" t="inlineStr">
        <is>
          <t>MARK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52242-2023</t>
        </is>
      </c>
      <c r="B623" s="1" t="n">
        <v>45224</v>
      </c>
      <c r="C623" s="1" t="n">
        <v>46205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37370-2024</t>
        </is>
      </c>
      <c r="B624" s="1" t="n">
        <v>45540</v>
      </c>
      <c r="C624" s="1" t="n">
        <v>46205</v>
      </c>
      <c r="D624" t="inlineStr">
        <is>
          <t>VÄSTRA GÖTALANDS LÄN</t>
        </is>
      </c>
      <c r="E624" t="inlineStr">
        <is>
          <t>MARK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25480-2026</t>
        </is>
      </c>
      <c r="B625" s="1" t="n">
        <v>46177</v>
      </c>
      <c r="C625" s="1" t="n">
        <v>46205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4378-2025</t>
        </is>
      </c>
      <c r="B626" s="1" t="n">
        <v>45686</v>
      </c>
      <c r="C626" s="1" t="n">
        <v>46205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29058-2026</t>
        </is>
      </c>
      <c r="B627" s="1" t="n">
        <v>46199</v>
      </c>
      <c r="C627" s="1" t="n">
        <v>46205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Kommuner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12127-2024</t>
        </is>
      </c>
      <c r="B628" s="1" t="n">
        <v>45377</v>
      </c>
      <c r="C628" s="1" t="n">
        <v>46205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Kyrkan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21639-2024</t>
        </is>
      </c>
      <c r="B629" s="1" t="n">
        <v>45442</v>
      </c>
      <c r="C629" s="1" t="n">
        <v>46205</v>
      </c>
      <c r="D629" t="inlineStr">
        <is>
          <t>VÄSTRA GÖTALANDS LÄN</t>
        </is>
      </c>
      <c r="E629" t="inlineStr">
        <is>
          <t>MARK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47973-2023</t>
        </is>
      </c>
      <c r="B630" s="1" t="n">
        <v>45204</v>
      </c>
      <c r="C630" s="1" t="n">
        <v>46205</v>
      </c>
      <c r="D630" t="inlineStr">
        <is>
          <t>VÄSTRA GÖTALANDS LÄN</t>
        </is>
      </c>
      <c r="E630" t="inlineStr">
        <is>
          <t>MARK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36772-2023</t>
        </is>
      </c>
      <c r="B631" s="1" t="n">
        <v>45154</v>
      </c>
      <c r="C631" s="1" t="n">
        <v>46205</v>
      </c>
      <c r="D631" t="inlineStr">
        <is>
          <t>VÄSTRA GÖTALANDS LÄN</t>
        </is>
      </c>
      <c r="E631" t="inlineStr">
        <is>
          <t>MARK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3987-2023</t>
        </is>
      </c>
      <c r="B632" s="1" t="n">
        <v>44950</v>
      </c>
      <c r="C632" s="1" t="n">
        <v>46205</v>
      </c>
      <c r="D632" t="inlineStr">
        <is>
          <t>VÄSTRA GÖTALANDS LÄN</t>
        </is>
      </c>
      <c r="E632" t="inlineStr">
        <is>
          <t>MARK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22144-2022</t>
        </is>
      </c>
      <c r="B633" s="1" t="n">
        <v>44712</v>
      </c>
      <c r="C633" s="1" t="n">
        <v>46205</v>
      </c>
      <c r="D633" t="inlineStr">
        <is>
          <t>VÄSTRA GÖTALANDS LÄN</t>
        </is>
      </c>
      <c r="E633" t="inlineStr">
        <is>
          <t>MARK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56904-2023</t>
        </is>
      </c>
      <c r="B634" s="1" t="n">
        <v>45244</v>
      </c>
      <c r="C634" s="1" t="n">
        <v>46205</v>
      </c>
      <c r="D634" t="inlineStr">
        <is>
          <t>VÄSTRA GÖTALANDS LÄN</t>
        </is>
      </c>
      <c r="E634" t="inlineStr">
        <is>
          <t>MARK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36305-2024</t>
        </is>
      </c>
      <c r="B635" s="1" t="n">
        <v>45534</v>
      </c>
      <c r="C635" s="1" t="n">
        <v>46205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29612-2024</t>
        </is>
      </c>
      <c r="B636" s="1" t="n">
        <v>45484</v>
      </c>
      <c r="C636" s="1" t="n">
        <v>46205</v>
      </c>
      <c r="D636" t="inlineStr">
        <is>
          <t>VÄSTRA GÖTALANDS LÄN</t>
        </is>
      </c>
      <c r="E636" t="inlineStr">
        <is>
          <t>MARK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15176-2023</t>
        </is>
      </c>
      <c r="B637" s="1" t="n">
        <v>45016</v>
      </c>
      <c r="C637" s="1" t="n">
        <v>46205</v>
      </c>
      <c r="D637" t="inlineStr">
        <is>
          <t>VÄSTRA GÖTALANDS LÄN</t>
        </is>
      </c>
      <c r="E637" t="inlineStr">
        <is>
          <t>MARK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20664-2025</t>
        </is>
      </c>
      <c r="B638" s="1" t="n">
        <v>45776</v>
      </c>
      <c r="C638" s="1" t="n">
        <v>46205</v>
      </c>
      <c r="D638" t="inlineStr">
        <is>
          <t>VÄSTRA GÖTALANDS LÄN</t>
        </is>
      </c>
      <c r="E638" t="inlineStr">
        <is>
          <t>MARK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6775-2024</t>
        </is>
      </c>
      <c r="B639" s="1" t="n">
        <v>45342</v>
      </c>
      <c r="C639" s="1" t="n">
        <v>46205</v>
      </c>
      <c r="D639" t="inlineStr">
        <is>
          <t>VÄSTRA GÖTALANDS LÄN</t>
        </is>
      </c>
      <c r="E639" t="inlineStr">
        <is>
          <t>MARK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17539-2026</t>
        </is>
      </c>
      <c r="B640" s="1" t="n">
        <v>46120</v>
      </c>
      <c r="C640" s="1" t="n">
        <v>46205</v>
      </c>
      <c r="D640" t="inlineStr">
        <is>
          <t>VÄSTRA GÖTALANDS LÄN</t>
        </is>
      </c>
      <c r="E640" t="inlineStr">
        <is>
          <t>MARK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29722-2026</t>
        </is>
      </c>
      <c r="B641" s="1" t="n">
        <v>46204</v>
      </c>
      <c r="C641" s="1" t="n">
        <v>46205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36287-2022</t>
        </is>
      </c>
      <c r="B642" s="1" t="n">
        <v>44803</v>
      </c>
      <c r="C642" s="1" t="n">
        <v>46205</v>
      </c>
      <c r="D642" t="inlineStr">
        <is>
          <t>VÄSTRA GÖTALANDS LÄN</t>
        </is>
      </c>
      <c r="E642" t="inlineStr">
        <is>
          <t>MARK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34641-2024</t>
        </is>
      </c>
      <c r="B643" s="1" t="n">
        <v>45526</v>
      </c>
      <c r="C643" s="1" t="n">
        <v>46205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47448-2023</t>
        </is>
      </c>
      <c r="B644" s="1" t="n">
        <v>45202</v>
      </c>
      <c r="C644" s="1" t="n">
        <v>46205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29507-2026</t>
        </is>
      </c>
      <c r="B645" s="1" t="n">
        <v>46203</v>
      </c>
      <c r="C645" s="1" t="n">
        <v>46205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15667-2023</t>
        </is>
      </c>
      <c r="B646" s="1" t="n">
        <v>45021</v>
      </c>
      <c r="C646" s="1" t="n">
        <v>46205</v>
      </c>
      <c r="D646" t="inlineStr">
        <is>
          <t>VÄSTRA GÖTALANDS LÄN</t>
        </is>
      </c>
      <c r="E646" t="inlineStr">
        <is>
          <t>MARK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53022-2024</t>
        </is>
      </c>
      <c r="B647" s="1" t="n">
        <v>45611</v>
      </c>
      <c r="C647" s="1" t="n">
        <v>46205</v>
      </c>
      <c r="D647" t="inlineStr">
        <is>
          <t>VÄSTRA GÖTALANDS LÄN</t>
        </is>
      </c>
      <c r="E647" t="inlineStr">
        <is>
          <t>MARK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53026-2024</t>
        </is>
      </c>
      <c r="B648" s="1" t="n">
        <v>45611</v>
      </c>
      <c r="C648" s="1" t="n">
        <v>46205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6770-2024</t>
        </is>
      </c>
      <c r="B649" s="1" t="n">
        <v>45342</v>
      </c>
      <c r="C649" s="1" t="n">
        <v>46205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49282-2023</t>
        </is>
      </c>
      <c r="B650" s="1" t="n">
        <v>45210</v>
      </c>
      <c r="C650" s="1" t="n">
        <v>46205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38780-2022</t>
        </is>
      </c>
      <c r="B651" s="1" t="n">
        <v>44813</v>
      </c>
      <c r="C651" s="1" t="n">
        <v>46205</v>
      </c>
      <c r="D651" t="inlineStr">
        <is>
          <t>VÄSTRA GÖTALANDS LÄN</t>
        </is>
      </c>
      <c r="E651" t="inlineStr">
        <is>
          <t>MARK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38799-2022</t>
        </is>
      </c>
      <c r="B652" s="1" t="n">
        <v>44813</v>
      </c>
      <c r="C652" s="1" t="n">
        <v>46205</v>
      </c>
      <c r="D652" t="inlineStr">
        <is>
          <t>VÄSTRA GÖTALANDS LÄN</t>
        </is>
      </c>
      <c r="E652" t="inlineStr">
        <is>
          <t>MARK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3430-2025</t>
        </is>
      </c>
      <c r="B653" s="1" t="n">
        <v>45680</v>
      </c>
      <c r="C653" s="1" t="n">
        <v>46205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8597-2024</t>
        </is>
      </c>
      <c r="B654" s="1" t="n">
        <v>45355</v>
      </c>
      <c r="C654" s="1" t="n">
        <v>46205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61269-2023</t>
        </is>
      </c>
      <c r="B655" s="1" t="n">
        <v>45264</v>
      </c>
      <c r="C655" s="1" t="n">
        <v>46205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706-2025</t>
        </is>
      </c>
      <c r="B656" s="1" t="n">
        <v>45665</v>
      </c>
      <c r="C656" s="1" t="n">
        <v>46205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27469-2024</t>
        </is>
      </c>
      <c r="B657" s="1" t="n">
        <v>45474</v>
      </c>
      <c r="C657" s="1" t="n">
        <v>46205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Kommuner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51446-2024</t>
        </is>
      </c>
      <c r="B658" s="1" t="n">
        <v>45604</v>
      </c>
      <c r="C658" s="1" t="n">
        <v>46205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11663-2022</t>
        </is>
      </c>
      <c r="B659" s="1" t="n">
        <v>44632</v>
      </c>
      <c r="C659" s="1" t="n">
        <v>46205</v>
      </c>
      <c r="D659" t="inlineStr">
        <is>
          <t>VÄSTRA GÖTALANDS LÄN</t>
        </is>
      </c>
      <c r="E659" t="inlineStr">
        <is>
          <t>MARK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11653-2023</t>
        </is>
      </c>
      <c r="B660" s="1" t="n">
        <v>44994</v>
      </c>
      <c r="C660" s="1" t="n">
        <v>46205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16615-2023</t>
        </is>
      </c>
      <c r="B661" s="1" t="n">
        <v>45030</v>
      </c>
      <c r="C661" s="1" t="n">
        <v>46205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2446-2022</t>
        </is>
      </c>
      <c r="B662" s="1" t="n">
        <v>44579</v>
      </c>
      <c r="C662" s="1" t="n">
        <v>46205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Kommuner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52673-2023</t>
        </is>
      </c>
      <c r="B663" s="1" t="n">
        <v>45219</v>
      </c>
      <c r="C663" s="1" t="n">
        <v>46205</v>
      </c>
      <c r="D663" t="inlineStr">
        <is>
          <t>VÄSTRA GÖTALANDS LÄN</t>
        </is>
      </c>
      <c r="E663" t="inlineStr">
        <is>
          <t>MARK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37737-2022</t>
        </is>
      </c>
      <c r="B664" s="1" t="n">
        <v>44810</v>
      </c>
      <c r="C664" s="1" t="n">
        <v>46205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28257-2024</t>
        </is>
      </c>
      <c r="B665" s="1" t="n">
        <v>45477</v>
      </c>
      <c r="C665" s="1" t="n">
        <v>46205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9496-2024</t>
        </is>
      </c>
      <c r="B666" s="1" t="n">
        <v>45359</v>
      </c>
      <c r="C666" s="1" t="n">
        <v>46205</v>
      </c>
      <c r="D666" t="inlineStr">
        <is>
          <t>VÄSTRA GÖTALANDS LÄN</t>
        </is>
      </c>
      <c r="E666" t="inlineStr">
        <is>
          <t>MARK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9504-2024</t>
        </is>
      </c>
      <c r="B667" s="1" t="n">
        <v>45359</v>
      </c>
      <c r="C667" s="1" t="n">
        <v>46205</v>
      </c>
      <c r="D667" t="inlineStr">
        <is>
          <t>VÄSTRA GÖTALANDS LÄN</t>
        </is>
      </c>
      <c r="E667" t="inlineStr">
        <is>
          <t>MARK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9558-2023</t>
        </is>
      </c>
      <c r="B668" s="1" t="n">
        <v>44982</v>
      </c>
      <c r="C668" s="1" t="n">
        <v>46205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26529-2023</t>
        </is>
      </c>
      <c r="B669" s="1" t="n">
        <v>45092</v>
      </c>
      <c r="C669" s="1" t="n">
        <v>46205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23634-2023</t>
        </is>
      </c>
      <c r="B670" s="1" t="n">
        <v>45077</v>
      </c>
      <c r="C670" s="1" t="n">
        <v>46205</v>
      </c>
      <c r="D670" t="inlineStr">
        <is>
          <t>VÄSTRA GÖTALANDS LÄN</t>
        </is>
      </c>
      <c r="E670" t="inlineStr">
        <is>
          <t>MARK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12330-2024</t>
        </is>
      </c>
      <c r="B671" s="1" t="n">
        <v>45378</v>
      </c>
      <c r="C671" s="1" t="n">
        <v>46205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5466-2024</t>
        </is>
      </c>
      <c r="B672" s="1" t="n">
        <v>45332</v>
      </c>
      <c r="C672" s="1" t="n">
        <v>46205</v>
      </c>
      <c r="D672" t="inlineStr">
        <is>
          <t>VÄSTRA GÖTALANDS LÄN</t>
        </is>
      </c>
      <c r="E672" t="inlineStr">
        <is>
          <t>MARK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7019-2024</t>
        </is>
      </c>
      <c r="B673" s="1" t="n">
        <v>45343</v>
      </c>
      <c r="C673" s="1" t="n">
        <v>46205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7720-2024</t>
        </is>
      </c>
      <c r="B674" s="1" t="n">
        <v>45349</v>
      </c>
      <c r="C674" s="1" t="n">
        <v>46205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30275-2024</t>
        </is>
      </c>
      <c r="B675" s="1" t="n">
        <v>45490</v>
      </c>
      <c r="C675" s="1" t="n">
        <v>46205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9251-2024</t>
        </is>
      </c>
      <c r="B676" s="1" t="n">
        <v>45358</v>
      </c>
      <c r="C676" s="1" t="n">
        <v>46205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57896-2024</t>
        </is>
      </c>
      <c r="B677" s="1" t="n">
        <v>45631</v>
      </c>
      <c r="C677" s="1" t="n">
        <v>46205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57168-2024</t>
        </is>
      </c>
      <c r="B678" s="1" t="n">
        <v>45629</v>
      </c>
      <c r="C678" s="1" t="n">
        <v>46205</v>
      </c>
      <c r="D678" t="inlineStr">
        <is>
          <t>VÄSTRA GÖTALANDS LÄN</t>
        </is>
      </c>
      <c r="E678" t="inlineStr">
        <is>
          <t>MARK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963-2024</t>
        </is>
      </c>
      <c r="B679" s="1" t="n">
        <v>45301</v>
      </c>
      <c r="C679" s="1" t="n">
        <v>46205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20613-2025</t>
        </is>
      </c>
      <c r="B680" s="1" t="n">
        <v>45776</v>
      </c>
      <c r="C680" s="1" t="n">
        <v>46205</v>
      </c>
      <c r="D680" t="inlineStr">
        <is>
          <t>VÄSTRA GÖTALANDS LÄN</t>
        </is>
      </c>
      <c r="E680" t="inlineStr">
        <is>
          <t>MARK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21260-2025</t>
        </is>
      </c>
      <c r="B681" s="1" t="n">
        <v>45779</v>
      </c>
      <c r="C681" s="1" t="n">
        <v>46205</v>
      </c>
      <c r="D681" t="inlineStr">
        <is>
          <t>VÄSTRA GÖTALANDS LÄN</t>
        </is>
      </c>
      <c r="E681" t="inlineStr">
        <is>
          <t>MARK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21854-2025</t>
        </is>
      </c>
      <c r="B682" s="1" t="n">
        <v>45784</v>
      </c>
      <c r="C682" s="1" t="n">
        <v>46205</v>
      </c>
      <c r="D682" t="inlineStr">
        <is>
          <t>VÄSTRA GÖTALANDS LÄN</t>
        </is>
      </c>
      <c r="E682" t="inlineStr">
        <is>
          <t>MARK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22022-2024</t>
        </is>
      </c>
      <c r="B683" s="1" t="n">
        <v>45443</v>
      </c>
      <c r="C683" s="1" t="n">
        <v>46205</v>
      </c>
      <c r="D683" t="inlineStr">
        <is>
          <t>VÄSTRA GÖTALANDS LÄN</t>
        </is>
      </c>
      <c r="E683" t="inlineStr">
        <is>
          <t>MARK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21880-2025</t>
        </is>
      </c>
      <c r="B684" s="1" t="n">
        <v>45784</v>
      </c>
      <c r="C684" s="1" t="n">
        <v>46205</v>
      </c>
      <c r="D684" t="inlineStr">
        <is>
          <t>VÄSTRA GÖTALANDS LÄN</t>
        </is>
      </c>
      <c r="E684" t="inlineStr">
        <is>
          <t>MARK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21906-2024</t>
        </is>
      </c>
      <c r="B685" s="1" t="n">
        <v>45443</v>
      </c>
      <c r="C685" s="1" t="n">
        <v>46205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3683-2022</t>
        </is>
      </c>
      <c r="B686" s="1" t="n">
        <v>44586</v>
      </c>
      <c r="C686" s="1" t="n">
        <v>46205</v>
      </c>
      <c r="D686" t="inlineStr">
        <is>
          <t>VÄSTRA GÖTALANDS LÄN</t>
        </is>
      </c>
      <c r="E686" t="inlineStr">
        <is>
          <t>MARK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2128-2025</t>
        </is>
      </c>
      <c r="B687" s="1" t="n">
        <v>45672</v>
      </c>
      <c r="C687" s="1" t="n">
        <v>46205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9113-2025</t>
        </is>
      </c>
      <c r="B688" s="1" t="n">
        <v>45713</v>
      </c>
      <c r="C688" s="1" t="n">
        <v>46205</v>
      </c>
      <c r="D688" t="inlineStr">
        <is>
          <t>VÄSTRA GÖTALANDS LÄN</t>
        </is>
      </c>
      <c r="E688" t="inlineStr">
        <is>
          <t>MARK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17771-2024</t>
        </is>
      </c>
      <c r="B689" s="1" t="n">
        <v>45418</v>
      </c>
      <c r="C689" s="1" t="n">
        <v>46205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20177-2024</t>
        </is>
      </c>
      <c r="B690" s="1" t="n">
        <v>45434</v>
      </c>
      <c r="C690" s="1" t="n">
        <v>46205</v>
      </c>
      <c r="D690" t="inlineStr">
        <is>
          <t>VÄSTRA GÖTALANDS LÄN</t>
        </is>
      </c>
      <c r="E690" t="inlineStr">
        <is>
          <t>MARK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11174-2025</t>
        </is>
      </c>
      <c r="B691" s="1" t="n">
        <v>45724</v>
      </c>
      <c r="C691" s="1" t="n">
        <v>46205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23480-2025</t>
        </is>
      </c>
      <c r="B692" s="1" t="n">
        <v>45792</v>
      </c>
      <c r="C692" s="1" t="n">
        <v>46205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23486-2025</t>
        </is>
      </c>
      <c r="B693" s="1" t="n">
        <v>45792</v>
      </c>
      <c r="C693" s="1" t="n">
        <v>46205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10674-2025</t>
        </is>
      </c>
      <c r="B694" s="1" t="n">
        <v>45721</v>
      </c>
      <c r="C694" s="1" t="n">
        <v>46205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7472-2023</t>
        </is>
      </c>
      <c r="B695" s="1" t="n">
        <v>44971</v>
      </c>
      <c r="C695" s="1" t="n">
        <v>46205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2026-07-02T00:58:21Z</dcterms:created>
  <dcterms:modified xmlns:dcterms="http://purl.org/dc/terms/" xmlns:xsi="http://www.w3.org/2001/XMLSchema-instance" xsi:type="dcterms:W3CDTF">2026-07-02T00:58:22Z</dcterms:modified>
</cp:coreProperties>
</file>